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ul Akinlami\Documents\Documents\Documents\EXCEL WORK\PORTFOLIO\"/>
    </mc:Choice>
  </mc:AlternateContent>
  <xr:revisionPtr revIDLastSave="0" documentId="13_ncr:9_{14102B21-1E6A-4586-99EE-623DFF11E3B5}" xr6:coauthVersionLast="47" xr6:coauthVersionMax="47" xr10:uidLastSave="{00000000-0000-0000-0000-000000000000}"/>
  <bookViews>
    <workbookView xWindow="-120" yWindow="-120" windowWidth="20730" windowHeight="11160" firstSheet="1" activeTab="2" xr2:uid="{69DCB467-F951-446F-BF52-45C68F902B53}"/>
  </bookViews>
  <sheets>
    <sheet name="StudentsPerformance" sheetId="1" r:id="rId1"/>
    <sheet name="Analysis" sheetId="2" r:id="rId2"/>
    <sheet name="Gender" sheetId="4" r:id="rId3"/>
    <sheet name="Parental Education" sheetId="5" r:id="rId4"/>
    <sheet name="TEST PREPARATION STATUS" sheetId="3" r:id="rId5"/>
    <sheet name="DASHBOARD" sheetId="7" r:id="rId6"/>
  </sheets>
  <calcPr calcId="0"/>
  <pivotCaches>
    <pivotCache cacheId="7" r:id="rId7"/>
  </pivotCaches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<sst xmlns="http://schemas.openxmlformats.org/spreadsheetml/2006/main" count="5053" uniqueCount="47">
  <si>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</si>
  <si>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</si>
  <si>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</si>
  <si>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</si>
  <si>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</si>
  <si>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</si>
  <si>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</si>
  <si>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</si>
  <si>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</si>
  <si>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</si>
  <si>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</si>
  <si>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</si>
  <si>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</si>
  <si>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</si>
  <si>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</si>
  <si>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</si>
  <si>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</si>
  <si>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</si>
  <si>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</si>
  <si>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</si>
  <si>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</si>
  <si>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</si>
  <si>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</si>
  <si>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</si>
  <si>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</si>
  <si>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Metric</t>
  </si>
  <si>
    <t>Result</t>
  </si>
  <si>
    <t>No of Students</t>
  </si>
  <si>
    <t>Mathematics Average</t>
  </si>
  <si>
    <t>Reading Average</t>
  </si>
  <si>
    <t>Writing Average</t>
  </si>
  <si>
    <t>Mathematics: 70 or above</t>
  </si>
  <si>
    <t>Reading: 70 or above</t>
  </si>
  <si>
    <t>Writing: 70 or above</t>
  </si>
  <si>
    <t>Row Labels</t>
  </si>
  <si>
    <t>Grand Total</t>
  </si>
  <si>
    <t>Average of math score</t>
  </si>
  <si>
    <t>Average of reading score</t>
  </si>
  <si>
    <t>Average of writing score</t>
  </si>
  <si>
    <t>TEST PREPARATION COURSE</t>
  </si>
  <si>
    <t>COMPLETED</t>
  </si>
  <si>
    <t xml:space="preserve">NONE </t>
  </si>
  <si>
    <t>GRAND TOTAL</t>
  </si>
  <si>
    <t>STUDENT PERFORMANCE ANALYSIS</t>
  </si>
  <si>
    <t>An Excel analysis of academic scores and test preparation status</t>
  </si>
  <si>
    <t>Students Analysed</t>
  </si>
  <si>
    <t>Highest Subject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</si>
</sst>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vertical="center"/>
    </xf>
    <xf numFmtId="0" fontId="0" fillId="33" borderId="0" xfId="0" applyFill="1"/>
    <xf numFmtId="0" fontId="0" fillId="34" borderId="0" xfId="0" applyFill="1" applyAlignment="1">
      <alignment horizontal="center"/>
    </xf>
    <xf numFmtId="0" fontId="0" fillId="34" borderId="0" xfId="0" applyFill="1"/>
    <xf numFmtId="0" fontId="19" fillId="34" borderId="0" xfId="0" applyFont="1" applyFill="1"/>
    <xf numFmtId="0" fontId="0" fillId="35" borderId="0" xfId="0" applyFill="1" applyAlignment="1">
      <alignment horizontal="center"/>
    </xf>
    <xf numFmtId="0" fontId="0" fillId="35" borderId="0" xfId="0" applyFill="1"/>
    <xf numFmtId="0" fontId="19" fillId="35" borderId="0" xfId="0" applyFont="1" applyFill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33" borderId="0" xfId="0" applyFont="1" applyFill="1" applyAlignment="1">
      <alignment horizontal="center"/>
    </xf>
    <xf numFmtId="0" fontId="22" fillId="33" borderId="0" xfId="0" applyFont="1" applyFill="1"/>
    <xf numFmtId="0" fontId="0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Score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8092738407699"/>
          <c:y val="7.407407407407407E-2"/>
          <c:w val="0.8711412948381452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Analysis!$A$3:$A$5</c:f>
              <c:strCache>
                <c:ptCount val="3"/>
                <c:pt idx="0">
                  <c:v>Mathematics Average</c:v>
                </c:pt>
                <c:pt idx="1">
                  <c:v>Reading Average</c:v>
                </c:pt>
                <c:pt idx="2">
                  <c:v>Writing Average</c:v>
                </c:pt>
              </c:strCache>
            </c:strRef>
          </c:cat>
          <c:val>
            <c:numRef>
              <c:f>Analysis!$B$3:$B$5</c:f>
              <c:numCache>
                <c:formatCode>0.00</c:formatCode>
                <c:ptCount val="3"/>
                <c:pt idx="0">
                  <c:v>66.088999999999999</c:v>
                </c:pt>
                <c:pt idx="1">
                  <c:v>69.168999999999997</c:v>
                </c:pt>
                <c:pt idx="2">
                  <c:v>68.054000000000002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0-4730-B259-C93F454F8B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9187967"/>
        <c:axId val="1719188927"/>
      </c:barChart>
      <c:catAx>
        <c:axId val="171918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8927"/>
        <c:crosses val="autoZero"/>
        <c:auto val="1"/>
        <c:lblAlgn val="ctr"/>
        <c:lblOffset val="100"/>
        <c:noMultiLvlLbl val="0"/>
      </c:catAx>
      <c:valAx>
        <c:axId val="17191889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Scores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Gender!$B$4:$B$6</c:f>
              <c:numCache>
                <c:formatCode>General</c:formatCode>
                <c:ptCount val="2"/>
                <c:pt idx="0">
                  <c:v>63.633204633204635</c:v>
                </c:pt>
                <c:pt idx="1">
                  <c:v>68.72821576763485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6-4CAF-96FB-1D9E91F143D0}"/>
            </c:ext>
          </c:extLst>
        </c:ser>
        <c:ser>
          <c:idx val="1"/>
          <c:order val="1"/>
          <c:tx>
            <c:strRef>
              <c:f>Gender!$C$3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Gender!$C$4:$C$6</c:f>
              <c:numCache>
                <c:formatCode>General</c:formatCode>
                <c:ptCount val="2"/>
                <c:pt idx="0">
                  <c:v>72.608108108108112</c:v>
                </c:pt>
                <c:pt idx="1">
                  <c:v>65.473029045643159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6-4CAF-96FB-1D9E91F143D0}"/>
            </c:ext>
          </c:extLst>
        </c:ser>
        <c:ser>
          <c:idx val="2"/>
          <c:order val="2"/>
          <c:tx>
            <c:strRef>
              <c:f>Gender!$D$3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Gender!$D$4:$D$6</c:f>
              <c:numCache>
                <c:formatCode>General</c:formatCode>
                <c:ptCount val="2"/>
                <c:pt idx="0">
                  <c:v>72.467181467181462</c:v>
                </c:pt>
                <c:pt idx="1">
                  <c:v>63.311203319502077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6-4CAF-96FB-1D9E91F14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867711"/>
        <c:axId val="1865865311"/>
      </c:barChart>
      <c:catAx>
        <c:axId val="186586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65311"/>
        <c:crosses val="autoZero"/>
        <c:auto val="1"/>
        <c:lblAlgn val="ctr"/>
        <c:lblOffset val="100"/>
        <c:noMultiLvlLbl val="0"/>
      </c:catAx>
      <c:valAx>
        <c:axId val="186586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6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[StudentsPerformance.xlsx]Parental Education!PivotTable3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Scores By Parental Education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'Parental Education'!$B$3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'Parental Education'!$A$4:$A$10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'Parental Education'!$B$4:$B$10</c:f>
              <c:numCache>
                <c:formatCode>General</c:formatCode>
                <c:ptCount val="6"/>
                <c:pt idx="0">
                  <c:v>70.927927927927925</c:v>
                </c:pt>
                <c:pt idx="1">
                  <c:v>73</c:v>
                </c:pt>
                <c:pt idx="2">
                  <c:v>64.704081632653057</c:v>
                </c:pt>
                <c:pt idx="3">
                  <c:v>75.372881355932208</c:v>
                </c:pt>
                <c:pt idx="4">
                  <c:v>69.460176991150448</c:v>
                </c:pt>
                <c:pt idx="5">
                  <c:v>66.938547486033514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3-4D9D-B877-70637BE915AC}"/>
            </c:ext>
          </c:extLst>
        </c:ser>
        <c:ser>
          <c:idx val="1"/>
          <c:order val="1"/>
          <c:tx>
            <c:strRef>
              <c:f>'Parental Education'!$C$3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'Parental Education'!$A$4:$A$10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'Parental Education'!$C$4:$C$10</c:f>
              <c:numCache>
                <c:formatCode>General</c:formatCode>
                <c:ptCount val="6"/>
                <c:pt idx="0">
                  <c:v>67.882882882882882</c:v>
                </c:pt>
                <c:pt idx="1">
                  <c:v>69.389830508474574</c:v>
                </c:pt>
                <c:pt idx="2">
                  <c:v>62.137755102040813</c:v>
                </c:pt>
                <c:pt idx="3">
                  <c:v>69.745762711864401</c:v>
                </c:pt>
                <c:pt idx="4">
                  <c:v>67.128318584070797</c:v>
                </c:pt>
                <c:pt idx="5">
                  <c:v>63.497206703910614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3-4D9D-B877-70637BE915AC}"/>
            </c:ext>
          </c:extLst>
        </c:ser>
        <c:ser>
          <c:idx val="2"/>
          <c:order val="2"/>
          <c:tx>
            <c:strRef>
              <c:f>'Parental Education'!$D$3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'Parental Education'!$A$4:$A$10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'Parental Education'!$D$4:$D$10</c:f>
              <c:numCache>
                <c:formatCode>General</c:formatCode>
                <c:ptCount val="6"/>
                <c:pt idx="0">
                  <c:v>69.896396396396398</c:v>
                </c:pt>
                <c:pt idx="1">
                  <c:v>73.381355932203391</c:v>
                </c:pt>
                <c:pt idx="2">
                  <c:v>62.448979591836732</c:v>
                </c:pt>
                <c:pt idx="3">
                  <c:v>75.677966101694921</c:v>
                </c:pt>
                <c:pt idx="4">
                  <c:v>68.840707964601776</c:v>
                </c:pt>
                <c:pt idx="5">
                  <c:v>64.888268156424587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3-4D9D-B877-70637BE91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186527"/>
        <c:axId val="1719188447"/>
      </c:barChart>
      <c:catAx>
        <c:axId val="171918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8447"/>
        <c:crosses val="autoZero"/>
        <c:auto val="1"/>
        <c:lblAlgn val="ctr"/>
        <c:lblOffset val="100"/>
        <c:noMultiLvlLbl val="0"/>
      </c:catAx>
      <c:valAx>
        <c:axId val="171918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[StudentsPerformance.xlsx]TEST PREPARATION STATUS!PivotTable1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Scores by Test Preparation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PREPARATION STATUS'!$B$3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'TEST PREPARATION STATUS'!$A$4:$A$6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PREPARATION STATUS'!$B$4:$B$6</c:f>
              <c:numCache>
                <c:formatCode>General</c:formatCode>
                <c:ptCount val="2"/>
                <c:pt idx="0">
                  <c:v>69.69553072625699</c:v>
                </c:pt>
                <c:pt idx="1">
                  <c:v>64.077881619937699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7-4797-9A53-60432F814EA6}"/>
            </c:ext>
          </c:extLst>
        </c:ser>
        <c:ser>
          <c:idx val="1"/>
          <c:order val="1"/>
          <c:tx>
            <c:strRef>
              <c:f>'TEST PREPARATION STATUS'!$C$3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'TEST PREPARATION STATUS'!$A$4:$A$6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PREPARATION STATUS'!$C$4:$C$6</c:f>
              <c:numCache>
                <c:formatCode>General</c:formatCode>
                <c:ptCount val="2"/>
                <c:pt idx="0">
                  <c:v>73.893854748603346</c:v>
                </c:pt>
                <c:pt idx="1">
                  <c:v>66.534267912772592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7-4797-9A53-60432F814EA6}"/>
            </c:ext>
          </c:extLst>
        </c:ser>
        <c:ser>
          <c:idx val="2"/>
          <c:order val="2"/>
          <c:tx>
            <c:strRef>
              <c:f>'TEST PREPARATION STATUS'!$D$3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'TEST PREPARATION STATUS'!$A$4:$A$6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PREPARATION STATUS'!$D$4:$D$6</c:f>
              <c:numCache>
                <c:formatCode>General</c:formatCode>
                <c:ptCount val="2"/>
                <c:pt idx="0">
                  <c:v>74.418994413407816</c:v>
                </c:pt>
                <c:pt idx="1">
                  <c:v>64.504672897196258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E7-4797-9A53-60432F814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4671247"/>
        <c:axId val="1604670287"/>
      </c:barChart>
      <c:catAx>
        <c:axId val="16046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70287"/>
        <c:crosses val="autoZero"/>
        <c:auto val="1"/>
        <c:lblAlgn val="ctr"/>
        <c:lblOffset val="100"/>
        <c:noMultiLvlLbl val="0"/>
      </c:catAx>
      <c:valAx>
        <c:axId val="160467028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7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Score by Subject</a:t>
            </a:r>
          </a:p>
        </c:rich>
      </c:tx>
      <c:layout>
        <c:manualLayout>
          <c:xMode val="edge"/>
          <c:yMode val="edge"/>
          <c:x val="0.13758516405921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8092738407699"/>
          <c:y val="7.407407407407407E-2"/>
          <c:w val="0.8711412948381452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Analysis!$A$3:$A$5</c:f>
              <c:strCache>
                <c:ptCount val="3"/>
                <c:pt idx="0">
                  <c:v>Mathematics Average</c:v>
                </c:pt>
                <c:pt idx="1">
                  <c:v>Reading Average</c:v>
                </c:pt>
                <c:pt idx="2">
                  <c:v>Writing Average</c:v>
                </c:pt>
              </c:strCache>
            </c:strRef>
          </c:cat>
          <c:val>
            <c:numRef>
              <c:f>Analysis!$B$3:$B$5</c:f>
              <c:numCache>
                <c:formatCode>0.00</c:formatCode>
                <c:ptCount val="3"/>
                <c:pt idx="0">
                  <c:v>66.088999999999999</c:v>
                </c:pt>
                <c:pt idx="1">
                  <c:v>69.168999999999997</c:v>
                </c:pt>
                <c:pt idx="2">
                  <c:v>68.054000000000002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7-4FDF-8C29-76E399A513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9187967"/>
        <c:axId val="1719188927"/>
      </c:barChart>
      <c:catAx>
        <c:axId val="171918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8927"/>
        <c:crosses val="autoZero"/>
        <c:auto val="1"/>
        <c:lblAlgn val="ctr"/>
        <c:lblOffset val="100"/>
        <c:noMultiLvlLbl val="0"/>
      </c:catAx>
      <c:valAx>
        <c:axId val="17191889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[StudentsPerformance.xlsx]TEST PREPARATION STATUS!PivotTable1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Scores by Test Preparation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PREPARATION STATUS'!$B$3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'TEST PREPARATION STATUS'!$A$4:$A$6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PREPARATION STATUS'!$B$4:$B$6</c:f>
              <c:numCache>
                <c:formatCode>General</c:formatCode>
                <c:ptCount val="2"/>
                <c:pt idx="0">
                  <c:v>69.69553072625699</c:v>
                </c:pt>
                <c:pt idx="1">
                  <c:v>64.077881619937699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6-48EB-A073-C06422D74973}"/>
            </c:ext>
          </c:extLst>
        </c:ser>
        <c:ser>
          <c:idx val="1"/>
          <c:order val="1"/>
          <c:tx>
            <c:strRef>
              <c:f>'TEST PREPARATION STATUS'!$C$3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'TEST PREPARATION STATUS'!$A$4:$A$6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PREPARATION STATUS'!$C$4:$C$6</c:f>
              <c:numCache>
                <c:formatCode>General</c:formatCode>
                <c:ptCount val="2"/>
                <c:pt idx="0">
                  <c:v>73.893854748603346</c:v>
                </c:pt>
                <c:pt idx="1">
                  <c:v>66.534267912772592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6-48EB-A073-C06422D74973}"/>
            </c:ext>
          </c:extLst>
        </c:ser>
        <c:ser>
          <c:idx val="2"/>
          <c:order val="2"/>
          <c:tx>
            <c:strRef>
              <c:f>'TEST PREPARATION STATUS'!$D$3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'TEST PREPARATION STATUS'!$A$4:$A$6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PREPARATION STATUS'!$D$4:$D$6</c:f>
              <c:numCache>
                <c:formatCode>General</c:formatCode>
                <c:ptCount val="2"/>
                <c:pt idx="0">
                  <c:v>74.418994413407816</c:v>
                </c:pt>
                <c:pt idx="1">
                  <c:v>64.504672897196258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6-48EB-A073-C06422D7497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4671247"/>
        <c:axId val="1604670287"/>
      </c:barChart>
      <c:catAx>
        <c:axId val="16046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70287"/>
        <c:crosses val="autoZero"/>
        <c:auto val="1"/>
        <c:lblAlgn val="ctr"/>
        <c:lblOffset val="100"/>
        <c:noMultiLvlLbl val="0"/>
      </c:catAx>
      <c:valAx>
        <c:axId val="160467028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7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[StudentsPerformance.xlsx]Gender!PivotTable2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Scores By Gender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88974989237456"/>
          <c:y val="0.12103064581716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Gender!$B$4:$B$6</c:f>
              <c:numCache>
                <c:formatCode>General</c:formatCode>
                <c:ptCount val="2"/>
                <c:pt idx="0">
                  <c:v>63.633204633204635</c:v>
                </c:pt>
                <c:pt idx="1">
                  <c:v>68.72821576763485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6-421C-9224-1FA7F514D1DC}"/>
            </c:ext>
          </c:extLst>
        </c:ser>
        <c:ser>
          <c:idx val="1"/>
          <c:order val="1"/>
          <c:tx>
            <c:strRef>
              <c:f>Gender!$C$3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Gender!$C$4:$C$6</c:f>
              <c:numCache>
                <c:formatCode>General</c:formatCode>
                <c:ptCount val="2"/>
                <c:pt idx="0">
                  <c:v>72.608108108108112</c:v>
                </c:pt>
                <c:pt idx="1">
                  <c:v>65.473029045643159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6-421C-9224-1FA7F514D1DC}"/>
            </c:ext>
          </c:extLst>
        </c:ser>
        <c:ser>
          <c:idx val="2"/>
          <c:order val="2"/>
          <c:tx>
            <c:strRef>
              <c:f>Gender!$D$3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Gender!$D$4:$D$6</c:f>
              <c:numCache>
                <c:formatCode>General</c:formatCode>
                <c:ptCount val="2"/>
                <c:pt idx="0">
                  <c:v>72.467181467181462</c:v>
                </c:pt>
                <c:pt idx="1">
                  <c:v>63.311203319502077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A6-421C-9224-1FA7F514D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867711"/>
        <c:axId val="1865865311"/>
      </c:barChart>
      <c:catAx>
        <c:axId val="186586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65311"/>
        <c:crosses val="autoZero"/>
        <c:auto val="1"/>
        <c:lblAlgn val="ctr"/>
        <c:lblOffset val="100"/>
        <c:noMultiLvlLbl val="0"/>
      </c:catAx>
      <c:valAx>
        <c:axId val="186586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6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1057275</xdr:colOff>
      <xdr:row>5</xdr:row>
      <xdr:rowOff>71437</xdr:rowOff>
    </xdr:from>
    <xdr:to>
      <xdr:col>10</xdr:col>
      <xdr:colOff>257175</xdr:colOff>
      <xdr:row>19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5D1DE-9B74-B1EB-BED1-4D870E9A7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900112</xdr:colOff>
      <xdr:row>2</xdr:row>
      <xdr:rowOff>42862</xdr:rowOff>
    </xdr:from>
    <xdr:to>
      <xdr:col>10</xdr:col>
      <xdr:colOff>290512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CD72C-05E3-F2BA-02AC-B8EDBD792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290512</xdr:colOff>
      <xdr:row>1</xdr:row>
      <xdr:rowOff>61912</xdr:rowOff>
    </xdr:from>
    <xdr:to>
      <xdr:col>9</xdr:col>
      <xdr:colOff>290512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5400C-1753-27B4-9CBF-90280F6A4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500062</xdr:colOff>
      <xdr:row>0</xdr:row>
      <xdr:rowOff>147637</xdr:rowOff>
    </xdr:from>
    <xdr:to>
      <xdr:col>12</xdr:col>
      <xdr:colOff>195262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FEC2A-6FD9-190C-FC8C-4FA1C194C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</xdr:row>
      <xdr:rowOff>66675</xdr:rowOff>
    </xdr:from>
    <xdr:to>
      <xdr:col>5</xdr:col>
      <xdr:colOff>552450</xdr:colOff>
      <xdr:row>19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B4A42-A3A7-40BC-BD5D-EB92DDB42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5</xdr:row>
      <xdr:rowOff>66674</xdr:rowOff>
    </xdr:from>
    <xdr:to>
      <xdr:col>10</xdr:col>
      <xdr:colOff>504825</xdr:colOff>
      <xdr:row>19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6997EB-4984-482F-9D7F-FFA6FC1EB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5</xdr:row>
      <xdr:rowOff>85726</xdr:rowOff>
    </xdr:from>
    <xdr:to>
      <xdr:col>15</xdr:col>
      <xdr:colOff>285750</xdr:colOff>
      <xdr:row>19</xdr:row>
      <xdr:rowOff>85726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906472-BAB6-482E-B378-322F70F40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Akinlami" refreshedDate="46304.484013310182" createdVersion="8" refreshedVersion="8" minRefreshableVersion="3" recordCount="1000" xr:uid="{5DE76FA8-32EC-43A1-AA7B-EA7B32526A38}">
  <cacheSource type="worksheet">
    <worksheetSource name="StudentData"/>
  </cacheSource>
  <cacheFields count="8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/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x v="0"/>
    <s v="standard"/>
    <x v="0"/>
    <n v="72"/>
    <n v="72"/>
    <n v="74"/>
  </r>
  <r>
    <x v="0"/>
    <s v="group C"/>
    <x v="1"/>
    <s v="standard"/>
    <x v="1"/>
    <n v="69"/>
    <n v="90"/>
    <n v="88"/>
  </r>
  <r>
    <x v="0"/>
    <s v="group B"/>
    <x v="2"/>
    <s v="standard"/>
    <x v="0"/>
    <n v="90"/>
    <n v="95"/>
    <n v="93"/>
  </r>
  <r>
    <x v="1"/>
    <s v="group A"/>
    <x v="3"/>
    <s v="free/reduced"/>
    <x v="0"/>
    <n v="47"/>
    <n v="57"/>
    <n v="44"/>
  </r>
  <r>
    <x v="1"/>
    <s v="group C"/>
    <x v="1"/>
    <s v="standard"/>
    <x v="0"/>
    <n v="76"/>
    <n v="78"/>
    <n v="75"/>
  </r>
  <r>
    <x v="0"/>
    <s v="group B"/>
    <x v="3"/>
    <s v="standard"/>
    <x v="0"/>
    <n v="71"/>
    <n v="83"/>
    <n v="78"/>
  </r>
  <r>
    <x v="0"/>
    <s v="group B"/>
    <x v="1"/>
    <s v="standard"/>
    <x v="1"/>
    <n v="88"/>
    <n v="95"/>
    <n v="92"/>
  </r>
  <r>
    <x v="1"/>
    <s v="group B"/>
    <x v="1"/>
    <s v="free/reduced"/>
    <x v="0"/>
    <n v="40"/>
    <n v="43"/>
    <n v="39"/>
  </r>
  <r>
    <x v="1"/>
    <s v="group D"/>
    <x v="4"/>
    <s v="free/reduced"/>
    <x v="1"/>
    <n v="64"/>
    <n v="64"/>
    <n v="67"/>
  </r>
  <r>
    <x v="0"/>
    <s v="group B"/>
    <x v="4"/>
    <s v="free/reduced"/>
    <x v="0"/>
    <n v="38"/>
    <n v="60"/>
    <n v="50"/>
  </r>
  <r>
    <x v="1"/>
    <s v="group C"/>
    <x v="3"/>
    <s v="standard"/>
    <x v="0"/>
    <n v="58"/>
    <n v="54"/>
    <n v="52"/>
  </r>
  <r>
    <x v="1"/>
    <s v="group D"/>
    <x v="3"/>
    <s v="standard"/>
    <x v="0"/>
    <n v="40"/>
    <n v="52"/>
    <n v="43"/>
  </r>
  <r>
    <x v="0"/>
    <s v="group B"/>
    <x v="4"/>
    <s v="standard"/>
    <x v="0"/>
    <n v="65"/>
    <n v="81"/>
    <n v="73"/>
  </r>
  <r>
    <x v="1"/>
    <s v="group A"/>
    <x v="1"/>
    <s v="standard"/>
    <x v="1"/>
    <n v="78"/>
    <n v="72"/>
    <n v="70"/>
  </r>
  <r>
    <x v="0"/>
    <s v="group A"/>
    <x v="2"/>
    <s v="standard"/>
    <x v="0"/>
    <n v="50"/>
    <n v="53"/>
    <n v="58"/>
  </r>
  <r>
    <x v="0"/>
    <s v="group C"/>
    <x v="5"/>
    <s v="standard"/>
    <x v="0"/>
    <n v="69"/>
    <n v="75"/>
    <n v="78"/>
  </r>
  <r>
    <x v="1"/>
    <s v="group C"/>
    <x v="4"/>
    <s v="standard"/>
    <x v="0"/>
    <n v="88"/>
    <n v="89"/>
    <n v="86"/>
  </r>
  <r>
    <x v="0"/>
    <s v="group B"/>
    <x v="5"/>
    <s v="free/reduced"/>
    <x v="0"/>
    <n v="18"/>
    <n v="32"/>
    <n v="28"/>
  </r>
  <r>
    <x v="1"/>
    <s v="group C"/>
    <x v="2"/>
    <s v="free/reduced"/>
    <x v="1"/>
    <n v="46"/>
    <n v="42"/>
    <n v="46"/>
  </r>
  <r>
    <x v="0"/>
    <s v="group C"/>
    <x v="3"/>
    <s v="free/reduced"/>
    <x v="0"/>
    <n v="54"/>
    <n v="58"/>
    <n v="61"/>
  </r>
  <r>
    <x v="1"/>
    <s v="group D"/>
    <x v="4"/>
    <s v="standard"/>
    <x v="0"/>
    <n v="66"/>
    <n v="69"/>
    <n v="63"/>
  </r>
  <r>
    <x v="0"/>
    <s v="group B"/>
    <x v="1"/>
    <s v="free/reduced"/>
    <x v="1"/>
    <n v="65"/>
    <n v="75"/>
    <n v="70"/>
  </r>
  <r>
    <x v="1"/>
    <s v="group D"/>
    <x v="1"/>
    <s v="standard"/>
    <x v="0"/>
    <n v="44"/>
    <n v="54"/>
    <n v="53"/>
  </r>
  <r>
    <x v="0"/>
    <s v="group C"/>
    <x v="5"/>
    <s v="standard"/>
    <x v="0"/>
    <n v="69"/>
    <n v="73"/>
    <n v="73"/>
  </r>
  <r>
    <x v="1"/>
    <s v="group D"/>
    <x v="0"/>
    <s v="free/reduced"/>
    <x v="1"/>
    <n v="74"/>
    <n v="71"/>
    <n v="80"/>
  </r>
  <r>
    <x v="1"/>
    <s v="group A"/>
    <x v="2"/>
    <s v="free/reduced"/>
    <x v="0"/>
    <n v="73"/>
    <n v="74"/>
    <n v="72"/>
  </r>
  <r>
    <x v="1"/>
    <s v="group B"/>
    <x v="1"/>
    <s v="standard"/>
    <x v="0"/>
    <n v="69"/>
    <n v="54"/>
    <n v="55"/>
  </r>
  <r>
    <x v="0"/>
    <s v="group C"/>
    <x v="0"/>
    <s v="standard"/>
    <x v="0"/>
    <n v="67"/>
    <n v="69"/>
    <n v="75"/>
  </r>
  <r>
    <x v="1"/>
    <s v="group C"/>
    <x v="4"/>
    <s v="standard"/>
    <x v="0"/>
    <n v="70"/>
    <n v="70"/>
    <n v="65"/>
  </r>
  <r>
    <x v="0"/>
    <s v="group D"/>
    <x v="2"/>
    <s v="standard"/>
    <x v="0"/>
    <n v="62"/>
    <n v="70"/>
    <n v="75"/>
  </r>
  <r>
    <x v="0"/>
    <s v="group D"/>
    <x v="1"/>
    <s v="standard"/>
    <x v="0"/>
    <n v="69"/>
    <n v="74"/>
    <n v="74"/>
  </r>
  <r>
    <x v="0"/>
    <s v="group B"/>
    <x v="1"/>
    <s v="standard"/>
    <x v="0"/>
    <n v="63"/>
    <n v="65"/>
    <n v="61"/>
  </r>
  <r>
    <x v="0"/>
    <s v="group E"/>
    <x v="2"/>
    <s v="free/reduced"/>
    <x v="0"/>
    <n v="56"/>
    <n v="72"/>
    <n v="65"/>
  </r>
  <r>
    <x v="1"/>
    <s v="group D"/>
    <x v="1"/>
    <s v="standard"/>
    <x v="0"/>
    <n v="40"/>
    <n v="42"/>
    <n v="38"/>
  </r>
  <r>
    <x v="1"/>
    <s v="group E"/>
    <x v="1"/>
    <s v="standard"/>
    <x v="0"/>
    <n v="97"/>
    <n v="87"/>
    <n v="82"/>
  </r>
  <r>
    <x v="1"/>
    <s v="group E"/>
    <x v="3"/>
    <s v="standard"/>
    <x v="1"/>
    <n v="81"/>
    <n v="81"/>
    <n v="79"/>
  </r>
  <r>
    <x v="0"/>
    <s v="group D"/>
    <x v="3"/>
    <s v="standard"/>
    <x v="0"/>
    <n v="74"/>
    <n v="81"/>
    <n v="83"/>
  </r>
  <r>
    <x v="0"/>
    <s v="group D"/>
    <x v="5"/>
    <s v="free/reduced"/>
    <x v="0"/>
    <n v="50"/>
    <n v="64"/>
    <n v="59"/>
  </r>
  <r>
    <x v="0"/>
    <s v="group D"/>
    <x v="3"/>
    <s v="free/reduced"/>
    <x v="1"/>
    <n v="75"/>
    <n v="90"/>
    <n v="88"/>
  </r>
  <r>
    <x v="1"/>
    <s v="group B"/>
    <x v="3"/>
    <s v="free/reduced"/>
    <x v="0"/>
    <n v="57"/>
    <n v="56"/>
    <n v="57"/>
  </r>
  <r>
    <x v="1"/>
    <s v="group C"/>
    <x v="3"/>
    <s v="free/reduced"/>
    <x v="0"/>
    <n v="55"/>
    <n v="61"/>
    <n v="54"/>
  </r>
  <r>
    <x v="0"/>
    <s v="group C"/>
    <x v="3"/>
    <s v="standard"/>
    <x v="0"/>
    <n v="58"/>
    <n v="73"/>
    <n v="68"/>
  </r>
  <r>
    <x v="0"/>
    <s v="group B"/>
    <x v="3"/>
    <s v="standard"/>
    <x v="0"/>
    <n v="53"/>
    <n v="58"/>
    <n v="65"/>
  </r>
  <r>
    <x v="1"/>
    <s v="group B"/>
    <x v="1"/>
    <s v="free/reduced"/>
    <x v="1"/>
    <n v="59"/>
    <n v="65"/>
    <n v="66"/>
  </r>
  <r>
    <x v="0"/>
    <s v="group E"/>
    <x v="3"/>
    <s v="free/reduced"/>
    <x v="0"/>
    <n v="50"/>
    <n v="56"/>
    <n v="54"/>
  </r>
  <r>
    <x v="1"/>
    <s v="group B"/>
    <x v="3"/>
    <s v="standard"/>
    <x v="0"/>
    <n v="65"/>
    <n v="54"/>
    <n v="57"/>
  </r>
  <r>
    <x v="0"/>
    <s v="group A"/>
    <x v="3"/>
    <s v="standard"/>
    <x v="1"/>
    <n v="55"/>
    <n v="65"/>
    <n v="62"/>
  </r>
  <r>
    <x v="0"/>
    <s v="group C"/>
    <x v="4"/>
    <s v="standard"/>
    <x v="0"/>
    <n v="66"/>
    <n v="71"/>
    <n v="76"/>
  </r>
  <r>
    <x v="0"/>
    <s v="group D"/>
    <x v="3"/>
    <s v="free/reduced"/>
    <x v="1"/>
    <n v="57"/>
    <n v="74"/>
    <n v="76"/>
  </r>
  <r>
    <x v="1"/>
    <s v="group C"/>
    <x v="4"/>
    <s v="standard"/>
    <x v="1"/>
    <n v="82"/>
    <n v="84"/>
    <n v="82"/>
  </r>
  <r>
    <x v="1"/>
    <s v="group E"/>
    <x v="1"/>
    <s v="standard"/>
    <x v="0"/>
    <n v="53"/>
    <n v="55"/>
    <n v="48"/>
  </r>
  <r>
    <x v="1"/>
    <s v="group E"/>
    <x v="3"/>
    <s v="free/reduced"/>
    <x v="1"/>
    <n v="77"/>
    <n v="69"/>
    <n v="68"/>
  </r>
  <r>
    <x v="1"/>
    <s v="group C"/>
    <x v="1"/>
    <s v="standard"/>
    <x v="0"/>
    <n v="53"/>
    <n v="44"/>
    <n v="42"/>
  </r>
  <r>
    <x v="1"/>
    <s v="group D"/>
    <x v="4"/>
    <s v="standard"/>
    <x v="0"/>
    <n v="88"/>
    <n v="78"/>
    <n v="75"/>
  </r>
  <r>
    <x v="0"/>
    <s v="group C"/>
    <x v="5"/>
    <s v="free/reduced"/>
    <x v="1"/>
    <n v="71"/>
    <n v="84"/>
    <n v="87"/>
  </r>
  <r>
    <x v="0"/>
    <s v="group C"/>
    <x v="4"/>
    <s v="free/reduced"/>
    <x v="0"/>
    <n v="33"/>
    <n v="41"/>
    <n v="43"/>
  </r>
  <r>
    <x v="0"/>
    <s v="group E"/>
    <x v="3"/>
    <s v="standard"/>
    <x v="1"/>
    <n v="82"/>
    <n v="85"/>
    <n v="86"/>
  </r>
  <r>
    <x v="1"/>
    <s v="group D"/>
    <x v="3"/>
    <s v="standard"/>
    <x v="0"/>
    <n v="52"/>
    <n v="55"/>
    <n v="49"/>
  </r>
  <r>
    <x v="1"/>
    <s v="group D"/>
    <x v="1"/>
    <s v="standard"/>
    <x v="1"/>
    <n v="58"/>
    <n v="59"/>
    <n v="58"/>
  </r>
  <r>
    <x v="0"/>
    <s v="group C"/>
    <x v="5"/>
    <s v="free/reduced"/>
    <x v="0"/>
    <n v="0"/>
    <n v="17"/>
    <n v="10"/>
  </r>
  <r>
    <x v="1"/>
    <s v="group E"/>
    <x v="0"/>
    <s v="free/reduced"/>
    <x v="1"/>
    <n v="79"/>
    <n v="74"/>
    <n v="72"/>
  </r>
  <r>
    <x v="1"/>
    <s v="group A"/>
    <x v="5"/>
    <s v="free/reduced"/>
    <x v="0"/>
    <n v="39"/>
    <n v="39"/>
    <n v="34"/>
  </r>
  <r>
    <x v="1"/>
    <s v="group A"/>
    <x v="3"/>
    <s v="free/reduced"/>
    <x v="0"/>
    <n v="62"/>
    <n v="61"/>
    <n v="55"/>
  </r>
  <r>
    <x v="0"/>
    <s v="group C"/>
    <x v="3"/>
    <s v="standard"/>
    <x v="0"/>
    <n v="69"/>
    <n v="80"/>
    <n v="71"/>
  </r>
  <r>
    <x v="0"/>
    <s v="group D"/>
    <x v="5"/>
    <s v="standard"/>
    <x v="0"/>
    <n v="59"/>
    <n v="58"/>
    <n v="59"/>
  </r>
  <r>
    <x v="1"/>
    <s v="group B"/>
    <x v="5"/>
    <s v="standard"/>
    <x v="0"/>
    <n v="67"/>
    <n v="64"/>
    <n v="61"/>
  </r>
  <r>
    <x v="1"/>
    <s v="group D"/>
    <x v="5"/>
    <s v="free/reduced"/>
    <x v="0"/>
    <n v="45"/>
    <n v="37"/>
    <n v="37"/>
  </r>
  <r>
    <x v="0"/>
    <s v="group C"/>
    <x v="1"/>
    <s v="standard"/>
    <x v="0"/>
    <n v="60"/>
    <n v="72"/>
    <n v="74"/>
  </r>
  <r>
    <x v="1"/>
    <s v="group B"/>
    <x v="3"/>
    <s v="free/reduced"/>
    <x v="0"/>
    <n v="61"/>
    <n v="58"/>
    <n v="56"/>
  </r>
  <r>
    <x v="0"/>
    <s v="group C"/>
    <x v="3"/>
    <s v="standard"/>
    <x v="0"/>
    <n v="39"/>
    <n v="64"/>
    <n v="57"/>
  </r>
  <r>
    <x v="0"/>
    <s v="group D"/>
    <x v="1"/>
    <s v="free/reduced"/>
    <x v="1"/>
    <n v="58"/>
    <n v="63"/>
    <n v="73"/>
  </r>
  <r>
    <x v="1"/>
    <s v="group D"/>
    <x v="1"/>
    <s v="standard"/>
    <x v="1"/>
    <n v="63"/>
    <n v="55"/>
    <n v="63"/>
  </r>
  <r>
    <x v="0"/>
    <s v="group A"/>
    <x v="3"/>
    <s v="free/reduced"/>
    <x v="0"/>
    <n v="41"/>
    <n v="51"/>
    <n v="48"/>
  </r>
  <r>
    <x v="1"/>
    <s v="group C"/>
    <x v="5"/>
    <s v="free/reduced"/>
    <x v="0"/>
    <n v="61"/>
    <n v="57"/>
    <n v="56"/>
  </r>
  <r>
    <x v="1"/>
    <s v="group C"/>
    <x v="5"/>
    <s v="standard"/>
    <x v="0"/>
    <n v="49"/>
    <n v="49"/>
    <n v="41"/>
  </r>
  <r>
    <x v="1"/>
    <s v="group B"/>
    <x v="3"/>
    <s v="free/reduced"/>
    <x v="0"/>
    <n v="44"/>
    <n v="41"/>
    <n v="38"/>
  </r>
  <r>
    <x v="1"/>
    <s v="group E"/>
    <x v="5"/>
    <s v="standard"/>
    <x v="0"/>
    <n v="30"/>
    <n v="26"/>
    <n v="22"/>
  </r>
  <r>
    <x v="1"/>
    <s v="group A"/>
    <x v="0"/>
    <s v="standard"/>
    <x v="1"/>
    <n v="80"/>
    <n v="78"/>
    <n v="81"/>
  </r>
  <r>
    <x v="0"/>
    <s v="group D"/>
    <x v="5"/>
    <s v="standard"/>
    <x v="1"/>
    <n v="61"/>
    <n v="74"/>
    <n v="72"/>
  </r>
  <r>
    <x v="0"/>
    <s v="group E"/>
    <x v="2"/>
    <s v="standard"/>
    <x v="0"/>
    <n v="62"/>
    <n v="68"/>
    <n v="68"/>
  </r>
  <r>
    <x v="0"/>
    <s v="group B"/>
    <x v="3"/>
    <s v="standard"/>
    <x v="0"/>
    <n v="47"/>
    <n v="49"/>
    <n v="50"/>
  </r>
  <r>
    <x v="1"/>
    <s v="group B"/>
    <x v="4"/>
    <s v="free/reduced"/>
    <x v="0"/>
    <n v="49"/>
    <n v="45"/>
    <n v="45"/>
  </r>
  <r>
    <x v="1"/>
    <s v="group A"/>
    <x v="1"/>
    <s v="free/reduced"/>
    <x v="1"/>
    <n v="50"/>
    <n v="47"/>
    <n v="54"/>
  </r>
  <r>
    <x v="1"/>
    <s v="group E"/>
    <x v="3"/>
    <s v="standard"/>
    <x v="0"/>
    <n v="72"/>
    <n v="64"/>
    <n v="63"/>
  </r>
  <r>
    <x v="1"/>
    <s v="group D"/>
    <x v="4"/>
    <s v="free/reduced"/>
    <x v="0"/>
    <n v="42"/>
    <n v="39"/>
    <n v="34"/>
  </r>
  <r>
    <x v="0"/>
    <s v="group C"/>
    <x v="1"/>
    <s v="standard"/>
    <x v="0"/>
    <n v="73"/>
    <n v="80"/>
    <n v="82"/>
  </r>
  <r>
    <x v="0"/>
    <s v="group C"/>
    <x v="1"/>
    <s v="free/reduced"/>
    <x v="0"/>
    <n v="76"/>
    <n v="83"/>
    <n v="88"/>
  </r>
  <r>
    <x v="0"/>
    <s v="group D"/>
    <x v="3"/>
    <s v="standard"/>
    <x v="0"/>
    <n v="71"/>
    <n v="71"/>
    <n v="74"/>
  </r>
  <r>
    <x v="0"/>
    <s v="group A"/>
    <x v="1"/>
    <s v="standard"/>
    <x v="0"/>
    <n v="58"/>
    <n v="70"/>
    <n v="67"/>
  </r>
  <r>
    <x v="0"/>
    <s v="group D"/>
    <x v="5"/>
    <s v="standard"/>
    <x v="0"/>
    <n v="73"/>
    <n v="86"/>
    <n v="82"/>
  </r>
  <r>
    <x v="0"/>
    <s v="group C"/>
    <x v="0"/>
    <s v="standard"/>
    <x v="0"/>
    <n v="65"/>
    <n v="72"/>
    <n v="74"/>
  </r>
  <r>
    <x v="1"/>
    <s v="group C"/>
    <x v="4"/>
    <s v="free/reduced"/>
    <x v="0"/>
    <n v="27"/>
    <n v="34"/>
    <n v="36"/>
  </r>
  <r>
    <x v="1"/>
    <s v="group C"/>
    <x v="4"/>
    <s v="standard"/>
    <x v="0"/>
    <n v="71"/>
    <n v="79"/>
    <n v="71"/>
  </r>
  <r>
    <x v="1"/>
    <s v="group C"/>
    <x v="3"/>
    <s v="free/reduced"/>
    <x v="1"/>
    <n v="43"/>
    <n v="45"/>
    <n v="50"/>
  </r>
  <r>
    <x v="0"/>
    <s v="group B"/>
    <x v="1"/>
    <s v="standard"/>
    <x v="0"/>
    <n v="79"/>
    <n v="86"/>
    <n v="92"/>
  </r>
  <r>
    <x v="1"/>
    <s v="group C"/>
    <x v="3"/>
    <s v="free/reduced"/>
    <x v="1"/>
    <n v="78"/>
    <n v="81"/>
    <n v="82"/>
  </r>
  <r>
    <x v="1"/>
    <s v="group B"/>
    <x v="5"/>
    <s v="standard"/>
    <x v="1"/>
    <n v="65"/>
    <n v="66"/>
    <n v="62"/>
  </r>
  <r>
    <x v="0"/>
    <s v="group E"/>
    <x v="1"/>
    <s v="standard"/>
    <x v="1"/>
    <n v="63"/>
    <n v="72"/>
    <n v="70"/>
  </r>
  <r>
    <x v="0"/>
    <s v="group D"/>
    <x v="1"/>
    <s v="free/reduced"/>
    <x v="0"/>
    <n v="58"/>
    <n v="67"/>
    <n v="62"/>
  </r>
  <r>
    <x v="0"/>
    <s v="group D"/>
    <x v="0"/>
    <s v="standard"/>
    <x v="0"/>
    <n v="65"/>
    <n v="67"/>
    <n v="62"/>
  </r>
  <r>
    <x v="1"/>
    <s v="group B"/>
    <x v="1"/>
    <s v="standard"/>
    <x v="0"/>
    <n v="79"/>
    <n v="67"/>
    <n v="67"/>
  </r>
  <r>
    <x v="1"/>
    <s v="group D"/>
    <x v="0"/>
    <s v="standard"/>
    <x v="1"/>
    <n v="68"/>
    <n v="74"/>
    <n v="74"/>
  </r>
  <r>
    <x v="0"/>
    <s v="group D"/>
    <x v="3"/>
    <s v="standard"/>
    <x v="0"/>
    <n v="85"/>
    <n v="91"/>
    <n v="89"/>
  </r>
  <r>
    <x v="1"/>
    <s v="group B"/>
    <x v="4"/>
    <s v="standard"/>
    <x v="1"/>
    <n v="60"/>
    <n v="44"/>
    <n v="47"/>
  </r>
  <r>
    <x v="1"/>
    <s v="group C"/>
    <x v="1"/>
    <s v="standard"/>
    <x v="1"/>
    <n v="98"/>
    <n v="86"/>
    <n v="90"/>
  </r>
  <r>
    <x v="0"/>
    <s v="group C"/>
    <x v="1"/>
    <s v="standard"/>
    <x v="0"/>
    <n v="58"/>
    <n v="67"/>
    <n v="72"/>
  </r>
  <r>
    <x v="0"/>
    <s v="group D"/>
    <x v="2"/>
    <s v="standard"/>
    <x v="0"/>
    <n v="87"/>
    <n v="100"/>
    <n v="100"/>
  </r>
  <r>
    <x v="1"/>
    <s v="group E"/>
    <x v="3"/>
    <s v="standard"/>
    <x v="1"/>
    <n v="66"/>
    <n v="63"/>
    <n v="64"/>
  </r>
  <r>
    <x v="0"/>
    <s v="group B"/>
    <x v="3"/>
    <s v="free/reduced"/>
    <x v="0"/>
    <n v="52"/>
    <n v="76"/>
    <n v="70"/>
  </r>
  <r>
    <x v="0"/>
    <s v="group B"/>
    <x v="5"/>
    <s v="standard"/>
    <x v="0"/>
    <n v="70"/>
    <n v="64"/>
    <n v="72"/>
  </r>
  <r>
    <x v="0"/>
    <s v="group D"/>
    <x v="3"/>
    <s v="free/reduced"/>
    <x v="1"/>
    <n v="77"/>
    <n v="89"/>
    <n v="98"/>
  </r>
  <r>
    <x v="1"/>
    <s v="group C"/>
    <x v="4"/>
    <s v="standard"/>
    <x v="0"/>
    <n v="62"/>
    <n v="55"/>
    <n v="49"/>
  </r>
  <r>
    <x v="1"/>
    <s v="group A"/>
    <x v="3"/>
    <s v="standard"/>
    <x v="0"/>
    <n v="54"/>
    <n v="53"/>
    <n v="47"/>
  </r>
  <r>
    <x v="0"/>
    <s v="group D"/>
    <x v="1"/>
    <s v="standard"/>
    <x v="0"/>
    <n v="51"/>
    <n v="58"/>
    <n v="54"/>
  </r>
  <r>
    <x v="0"/>
    <s v="group E"/>
    <x v="0"/>
    <s v="standard"/>
    <x v="1"/>
    <n v="99"/>
    <n v="100"/>
    <n v="100"/>
  </r>
  <r>
    <x v="1"/>
    <s v="group C"/>
    <x v="4"/>
    <s v="standard"/>
    <x v="0"/>
    <n v="84"/>
    <n v="77"/>
    <n v="74"/>
  </r>
  <r>
    <x v="0"/>
    <s v="group B"/>
    <x v="0"/>
    <s v="free/reduced"/>
    <x v="0"/>
    <n v="75"/>
    <n v="85"/>
    <n v="82"/>
  </r>
  <r>
    <x v="0"/>
    <s v="group D"/>
    <x v="0"/>
    <s v="standard"/>
    <x v="0"/>
    <n v="78"/>
    <n v="82"/>
    <n v="79"/>
  </r>
  <r>
    <x v="0"/>
    <s v="group D"/>
    <x v="5"/>
    <s v="standard"/>
    <x v="0"/>
    <n v="51"/>
    <n v="63"/>
    <n v="61"/>
  </r>
  <r>
    <x v="0"/>
    <s v="group C"/>
    <x v="1"/>
    <s v="standard"/>
    <x v="0"/>
    <n v="55"/>
    <n v="69"/>
    <n v="65"/>
  </r>
  <r>
    <x v="0"/>
    <s v="group C"/>
    <x v="0"/>
    <s v="standard"/>
    <x v="1"/>
    <n v="79"/>
    <n v="92"/>
    <n v="89"/>
  </r>
  <r>
    <x v="1"/>
    <s v="group B"/>
    <x v="3"/>
    <s v="standard"/>
    <x v="1"/>
    <n v="91"/>
    <n v="89"/>
    <n v="92"/>
  </r>
  <r>
    <x v="0"/>
    <s v="group C"/>
    <x v="1"/>
    <s v="standard"/>
    <x v="1"/>
    <n v="88"/>
    <n v="93"/>
    <n v="93"/>
  </r>
  <r>
    <x v="1"/>
    <s v="group D"/>
    <x v="4"/>
    <s v="free/reduced"/>
    <x v="0"/>
    <n v="63"/>
    <n v="57"/>
    <n v="56"/>
  </r>
  <r>
    <x v="1"/>
    <s v="group E"/>
    <x v="1"/>
    <s v="standard"/>
    <x v="0"/>
    <n v="83"/>
    <n v="80"/>
    <n v="73"/>
  </r>
  <r>
    <x v="0"/>
    <s v="group B"/>
    <x v="4"/>
    <s v="standard"/>
    <x v="0"/>
    <n v="87"/>
    <n v="95"/>
    <n v="86"/>
  </r>
  <r>
    <x v="1"/>
    <s v="group B"/>
    <x v="5"/>
    <s v="standard"/>
    <x v="0"/>
    <n v="72"/>
    <n v="68"/>
    <n v="67"/>
  </r>
  <r>
    <x v="1"/>
    <s v="group D"/>
    <x v="1"/>
    <s v="standard"/>
    <x v="1"/>
    <n v="65"/>
    <n v="77"/>
    <n v="74"/>
  </r>
  <r>
    <x v="1"/>
    <s v="group D"/>
    <x v="2"/>
    <s v="standard"/>
    <x v="0"/>
    <n v="82"/>
    <n v="82"/>
    <n v="74"/>
  </r>
  <r>
    <x v="0"/>
    <s v="group A"/>
    <x v="0"/>
    <s v="standard"/>
    <x v="0"/>
    <n v="51"/>
    <n v="49"/>
    <n v="51"/>
  </r>
  <r>
    <x v="1"/>
    <s v="group D"/>
    <x v="2"/>
    <s v="standard"/>
    <x v="0"/>
    <n v="89"/>
    <n v="84"/>
    <n v="82"/>
  </r>
  <r>
    <x v="1"/>
    <s v="group C"/>
    <x v="5"/>
    <s v="free/reduced"/>
    <x v="1"/>
    <n v="53"/>
    <n v="37"/>
    <n v="40"/>
  </r>
  <r>
    <x v="1"/>
    <s v="group E"/>
    <x v="1"/>
    <s v="free/reduced"/>
    <x v="1"/>
    <n v="87"/>
    <n v="74"/>
    <n v="70"/>
  </r>
  <r>
    <x v="0"/>
    <s v="group C"/>
    <x v="1"/>
    <s v="standard"/>
    <x v="1"/>
    <n v="75"/>
    <n v="81"/>
    <n v="84"/>
  </r>
  <r>
    <x v="1"/>
    <s v="group D"/>
    <x v="0"/>
    <s v="free/reduced"/>
    <x v="1"/>
    <n v="74"/>
    <n v="79"/>
    <n v="75"/>
  </r>
  <r>
    <x v="1"/>
    <s v="group C"/>
    <x v="0"/>
    <s v="standard"/>
    <x v="0"/>
    <n v="58"/>
    <n v="55"/>
    <n v="48"/>
  </r>
  <r>
    <x v="1"/>
    <s v="group B"/>
    <x v="5"/>
    <s v="standard"/>
    <x v="1"/>
    <n v="51"/>
    <n v="54"/>
    <n v="41"/>
  </r>
  <r>
    <x v="1"/>
    <s v="group E"/>
    <x v="4"/>
    <s v="standard"/>
    <x v="0"/>
    <n v="70"/>
    <n v="55"/>
    <n v="56"/>
  </r>
  <r>
    <x v="0"/>
    <s v="group C"/>
    <x v="3"/>
    <s v="standard"/>
    <x v="0"/>
    <n v="59"/>
    <n v="66"/>
    <n v="67"/>
  </r>
  <r>
    <x v="1"/>
    <s v="group D"/>
    <x v="1"/>
    <s v="standard"/>
    <x v="1"/>
    <n v="71"/>
    <n v="61"/>
    <n v="69"/>
  </r>
  <r>
    <x v="0"/>
    <s v="group D"/>
    <x v="5"/>
    <s v="standard"/>
    <x v="0"/>
    <n v="76"/>
    <n v="72"/>
    <n v="71"/>
  </r>
  <r>
    <x v="0"/>
    <s v="group C"/>
    <x v="1"/>
    <s v="free/reduced"/>
    <x v="0"/>
    <n v="59"/>
    <n v="62"/>
    <n v="64"/>
  </r>
  <r>
    <x v="0"/>
    <s v="group E"/>
    <x v="1"/>
    <s v="free/reduced"/>
    <x v="1"/>
    <n v="42"/>
    <n v="55"/>
    <n v="54"/>
  </r>
  <r>
    <x v="1"/>
    <s v="group A"/>
    <x v="4"/>
    <s v="standard"/>
    <x v="0"/>
    <n v="57"/>
    <n v="43"/>
    <n v="47"/>
  </r>
  <r>
    <x v="1"/>
    <s v="group D"/>
    <x v="1"/>
    <s v="standard"/>
    <x v="0"/>
    <n v="88"/>
    <n v="73"/>
    <n v="78"/>
  </r>
  <r>
    <x v="0"/>
    <s v="group C"/>
    <x v="1"/>
    <s v="free/reduced"/>
    <x v="0"/>
    <n v="22"/>
    <n v="39"/>
    <n v="33"/>
  </r>
  <r>
    <x v="1"/>
    <s v="group B"/>
    <x v="5"/>
    <s v="standard"/>
    <x v="0"/>
    <n v="88"/>
    <n v="84"/>
    <n v="75"/>
  </r>
  <r>
    <x v="1"/>
    <s v="group C"/>
    <x v="3"/>
    <s v="free/reduced"/>
    <x v="0"/>
    <n v="73"/>
    <n v="68"/>
    <n v="66"/>
  </r>
  <r>
    <x v="0"/>
    <s v="group D"/>
    <x v="0"/>
    <s v="standard"/>
    <x v="1"/>
    <n v="68"/>
    <n v="75"/>
    <n v="81"/>
  </r>
  <r>
    <x v="1"/>
    <s v="group E"/>
    <x v="3"/>
    <s v="free/reduced"/>
    <x v="1"/>
    <n v="100"/>
    <n v="100"/>
    <n v="93"/>
  </r>
  <r>
    <x v="1"/>
    <s v="group A"/>
    <x v="5"/>
    <s v="standard"/>
    <x v="1"/>
    <n v="62"/>
    <n v="67"/>
    <n v="69"/>
  </r>
  <r>
    <x v="1"/>
    <s v="group A"/>
    <x v="0"/>
    <s v="standard"/>
    <x v="0"/>
    <n v="77"/>
    <n v="67"/>
    <n v="68"/>
  </r>
  <r>
    <x v="0"/>
    <s v="group B"/>
    <x v="3"/>
    <s v="standard"/>
    <x v="1"/>
    <n v="59"/>
    <n v="70"/>
    <n v="66"/>
  </r>
  <r>
    <x v="1"/>
    <s v="group D"/>
    <x v="0"/>
    <s v="standard"/>
    <x v="0"/>
    <n v="54"/>
    <n v="49"/>
    <n v="47"/>
  </r>
  <r>
    <x v="1"/>
    <s v="group D"/>
    <x v="5"/>
    <s v="standard"/>
    <x v="0"/>
    <n v="62"/>
    <n v="67"/>
    <n v="61"/>
  </r>
  <r>
    <x v="0"/>
    <s v="group C"/>
    <x v="1"/>
    <s v="standard"/>
    <x v="1"/>
    <n v="70"/>
    <n v="89"/>
    <n v="88"/>
  </r>
  <r>
    <x v="0"/>
    <s v="group E"/>
    <x v="4"/>
    <s v="free/reduced"/>
    <x v="1"/>
    <n v="66"/>
    <n v="74"/>
    <n v="78"/>
  </r>
  <r>
    <x v="1"/>
    <s v="group B"/>
    <x v="1"/>
    <s v="free/reduced"/>
    <x v="0"/>
    <n v="60"/>
    <n v="60"/>
    <n v="60"/>
  </r>
  <r>
    <x v="0"/>
    <s v="group B"/>
    <x v="3"/>
    <s v="standard"/>
    <x v="1"/>
    <n v="61"/>
    <n v="86"/>
    <n v="87"/>
  </r>
  <r>
    <x v="1"/>
    <s v="group D"/>
    <x v="3"/>
    <s v="free/reduced"/>
    <x v="0"/>
    <n v="66"/>
    <n v="62"/>
    <n v="64"/>
  </r>
  <r>
    <x v="1"/>
    <s v="group B"/>
    <x v="3"/>
    <s v="free/reduced"/>
    <x v="1"/>
    <n v="82"/>
    <n v="78"/>
    <n v="74"/>
  </r>
  <r>
    <x v="0"/>
    <s v="group E"/>
    <x v="1"/>
    <s v="free/reduced"/>
    <x v="1"/>
    <n v="75"/>
    <n v="88"/>
    <n v="85"/>
  </r>
  <r>
    <x v="1"/>
    <s v="group B"/>
    <x v="2"/>
    <s v="free/reduced"/>
    <x v="0"/>
    <n v="49"/>
    <n v="53"/>
    <n v="52"/>
  </r>
  <r>
    <x v="1"/>
    <s v="group C"/>
    <x v="4"/>
    <s v="standard"/>
    <x v="0"/>
    <n v="52"/>
    <n v="53"/>
    <n v="49"/>
  </r>
  <r>
    <x v="0"/>
    <s v="group E"/>
    <x v="2"/>
    <s v="standard"/>
    <x v="0"/>
    <n v="81"/>
    <n v="92"/>
    <n v="91"/>
  </r>
  <r>
    <x v="0"/>
    <s v="group C"/>
    <x v="0"/>
    <s v="standard"/>
    <x v="1"/>
    <n v="96"/>
    <n v="100"/>
    <n v="100"/>
  </r>
  <r>
    <x v="1"/>
    <s v="group C"/>
    <x v="4"/>
    <s v="free/reduced"/>
    <x v="1"/>
    <n v="53"/>
    <n v="51"/>
    <n v="51"/>
  </r>
  <r>
    <x v="0"/>
    <s v="group B"/>
    <x v="2"/>
    <s v="free/reduced"/>
    <x v="1"/>
    <n v="58"/>
    <n v="76"/>
    <n v="78"/>
  </r>
  <r>
    <x v="0"/>
    <s v="group B"/>
    <x v="4"/>
    <s v="standard"/>
    <x v="1"/>
    <n v="68"/>
    <n v="83"/>
    <n v="78"/>
  </r>
  <r>
    <x v="0"/>
    <s v="group C"/>
    <x v="1"/>
    <s v="free/reduced"/>
    <x v="1"/>
    <n v="67"/>
    <n v="75"/>
    <n v="70"/>
  </r>
  <r>
    <x v="1"/>
    <s v="group A"/>
    <x v="4"/>
    <s v="standard"/>
    <x v="1"/>
    <n v="72"/>
    <n v="73"/>
    <n v="74"/>
  </r>
  <r>
    <x v="1"/>
    <s v="group E"/>
    <x v="5"/>
    <s v="standard"/>
    <x v="0"/>
    <n v="94"/>
    <n v="88"/>
    <n v="78"/>
  </r>
  <r>
    <x v="0"/>
    <s v="group D"/>
    <x v="1"/>
    <s v="standard"/>
    <x v="0"/>
    <n v="79"/>
    <n v="86"/>
    <n v="81"/>
  </r>
  <r>
    <x v="0"/>
    <s v="group C"/>
    <x v="3"/>
    <s v="standard"/>
    <x v="0"/>
    <n v="63"/>
    <n v="67"/>
    <n v="70"/>
  </r>
  <r>
    <x v="0"/>
    <s v="group C"/>
    <x v="0"/>
    <s v="free/reduced"/>
    <x v="1"/>
    <n v="43"/>
    <n v="51"/>
    <n v="54"/>
  </r>
  <r>
    <x v="0"/>
    <s v="group C"/>
    <x v="2"/>
    <s v="standard"/>
    <x v="1"/>
    <n v="81"/>
    <n v="91"/>
    <n v="87"/>
  </r>
  <r>
    <x v="0"/>
    <s v="group B"/>
    <x v="4"/>
    <s v="free/reduced"/>
    <x v="1"/>
    <n v="46"/>
    <n v="54"/>
    <n v="58"/>
  </r>
  <r>
    <x v="0"/>
    <s v="group C"/>
    <x v="3"/>
    <s v="standard"/>
    <x v="1"/>
    <n v="71"/>
    <n v="77"/>
    <n v="77"/>
  </r>
  <r>
    <x v="0"/>
    <s v="group B"/>
    <x v="2"/>
    <s v="free/reduced"/>
    <x v="1"/>
    <n v="52"/>
    <n v="70"/>
    <n v="62"/>
  </r>
  <r>
    <x v="0"/>
    <s v="group D"/>
    <x v="5"/>
    <s v="standard"/>
    <x v="1"/>
    <n v="97"/>
    <n v="100"/>
    <n v="100"/>
  </r>
  <r>
    <x v="1"/>
    <s v="group C"/>
    <x v="2"/>
    <s v="free/reduced"/>
    <x v="1"/>
    <n v="62"/>
    <n v="68"/>
    <n v="75"/>
  </r>
  <r>
    <x v="0"/>
    <s v="group C"/>
    <x v="1"/>
    <s v="free/reduced"/>
    <x v="0"/>
    <n v="46"/>
    <n v="64"/>
    <n v="66"/>
  </r>
  <r>
    <x v="0"/>
    <s v="group E"/>
    <x v="4"/>
    <s v="standard"/>
    <x v="0"/>
    <n v="50"/>
    <n v="50"/>
    <n v="47"/>
  </r>
  <r>
    <x v="0"/>
    <s v="group D"/>
    <x v="3"/>
    <s v="standard"/>
    <x v="0"/>
    <n v="65"/>
    <n v="69"/>
    <n v="70"/>
  </r>
  <r>
    <x v="1"/>
    <s v="group C"/>
    <x v="5"/>
    <s v="free/reduced"/>
    <x v="1"/>
    <n v="45"/>
    <n v="52"/>
    <n v="49"/>
  </r>
  <r>
    <x v="1"/>
    <s v="group C"/>
    <x v="3"/>
    <s v="free/reduced"/>
    <x v="1"/>
    <n v="65"/>
    <n v="67"/>
    <n v="65"/>
  </r>
  <r>
    <x v="1"/>
    <s v="group E"/>
    <x v="4"/>
    <s v="standard"/>
    <x v="0"/>
    <n v="80"/>
    <n v="76"/>
    <n v="65"/>
  </r>
  <r>
    <x v="1"/>
    <s v="group D"/>
    <x v="5"/>
    <s v="standard"/>
    <x v="1"/>
    <n v="62"/>
    <n v="66"/>
    <n v="68"/>
  </r>
  <r>
    <x v="1"/>
    <s v="group B"/>
    <x v="5"/>
    <s v="free/reduced"/>
    <x v="0"/>
    <n v="48"/>
    <n v="52"/>
    <n v="45"/>
  </r>
  <r>
    <x v="0"/>
    <s v="group C"/>
    <x v="0"/>
    <s v="standard"/>
    <x v="0"/>
    <n v="77"/>
    <n v="88"/>
    <n v="87"/>
  </r>
  <r>
    <x v="0"/>
    <s v="group E"/>
    <x v="3"/>
    <s v="standard"/>
    <x v="0"/>
    <n v="66"/>
    <n v="65"/>
    <n v="69"/>
  </r>
  <r>
    <x v="1"/>
    <s v="group D"/>
    <x v="1"/>
    <s v="standard"/>
    <x v="1"/>
    <n v="76"/>
    <n v="83"/>
    <n v="79"/>
  </r>
  <r>
    <x v="0"/>
    <s v="group B"/>
    <x v="5"/>
    <s v="standard"/>
    <x v="0"/>
    <n v="62"/>
    <n v="64"/>
    <n v="66"/>
  </r>
  <r>
    <x v="1"/>
    <s v="group D"/>
    <x v="1"/>
    <s v="standard"/>
    <x v="1"/>
    <n v="77"/>
    <n v="62"/>
    <n v="62"/>
  </r>
  <r>
    <x v="0"/>
    <s v="group C"/>
    <x v="2"/>
    <s v="standard"/>
    <x v="1"/>
    <n v="69"/>
    <n v="84"/>
    <n v="85"/>
  </r>
  <r>
    <x v="1"/>
    <s v="group D"/>
    <x v="3"/>
    <s v="standard"/>
    <x v="0"/>
    <n v="61"/>
    <n v="55"/>
    <n v="52"/>
  </r>
  <r>
    <x v="1"/>
    <s v="group C"/>
    <x v="5"/>
    <s v="free/reduced"/>
    <x v="1"/>
    <n v="59"/>
    <n v="69"/>
    <n v="65"/>
  </r>
  <r>
    <x v="1"/>
    <s v="group E"/>
    <x v="4"/>
    <s v="free/reduced"/>
    <x v="0"/>
    <n v="55"/>
    <n v="56"/>
    <n v="51"/>
  </r>
  <r>
    <x v="0"/>
    <s v="group B"/>
    <x v="1"/>
    <s v="free/reduced"/>
    <x v="0"/>
    <n v="45"/>
    <n v="53"/>
    <n v="55"/>
  </r>
  <r>
    <x v="0"/>
    <s v="group B"/>
    <x v="0"/>
    <s v="free/reduced"/>
    <x v="0"/>
    <n v="78"/>
    <n v="79"/>
    <n v="76"/>
  </r>
  <r>
    <x v="0"/>
    <s v="group C"/>
    <x v="3"/>
    <s v="standard"/>
    <x v="1"/>
    <n v="67"/>
    <n v="84"/>
    <n v="86"/>
  </r>
  <r>
    <x v="0"/>
    <s v="group D"/>
    <x v="1"/>
    <s v="free/reduced"/>
    <x v="0"/>
    <n v="65"/>
    <n v="81"/>
    <n v="77"/>
  </r>
  <r>
    <x v="1"/>
    <s v="group C"/>
    <x v="3"/>
    <s v="standard"/>
    <x v="0"/>
    <n v="69"/>
    <n v="77"/>
    <n v="69"/>
  </r>
  <r>
    <x v="0"/>
    <s v="group B"/>
    <x v="3"/>
    <s v="standard"/>
    <x v="0"/>
    <n v="57"/>
    <n v="69"/>
    <n v="68"/>
  </r>
  <r>
    <x v="1"/>
    <s v="group C"/>
    <x v="1"/>
    <s v="standard"/>
    <x v="0"/>
    <n v="59"/>
    <n v="41"/>
    <n v="42"/>
  </r>
  <r>
    <x v="1"/>
    <s v="group D"/>
    <x v="5"/>
    <s v="standard"/>
    <x v="1"/>
    <n v="74"/>
    <n v="71"/>
    <n v="78"/>
  </r>
  <r>
    <x v="1"/>
    <s v="group E"/>
    <x v="0"/>
    <s v="standard"/>
    <x v="0"/>
    <n v="82"/>
    <n v="62"/>
    <n v="62"/>
  </r>
  <r>
    <x v="1"/>
    <s v="group E"/>
    <x v="4"/>
    <s v="standard"/>
    <x v="1"/>
    <n v="81"/>
    <n v="80"/>
    <n v="76"/>
  </r>
  <r>
    <x v="0"/>
    <s v="group B"/>
    <x v="1"/>
    <s v="free/reduced"/>
    <x v="0"/>
    <n v="74"/>
    <n v="81"/>
    <n v="76"/>
  </r>
  <r>
    <x v="0"/>
    <s v="group B"/>
    <x v="1"/>
    <s v="free/reduced"/>
    <x v="0"/>
    <n v="58"/>
    <n v="61"/>
    <n v="66"/>
  </r>
  <r>
    <x v="1"/>
    <s v="group D"/>
    <x v="5"/>
    <s v="free/reduced"/>
    <x v="1"/>
    <n v="80"/>
    <n v="79"/>
    <n v="79"/>
  </r>
  <r>
    <x v="1"/>
    <s v="group C"/>
    <x v="1"/>
    <s v="free/reduced"/>
    <x v="0"/>
    <n v="35"/>
    <n v="28"/>
    <n v="27"/>
  </r>
  <r>
    <x v="0"/>
    <s v="group C"/>
    <x v="4"/>
    <s v="free/reduced"/>
    <x v="0"/>
    <n v="42"/>
    <n v="62"/>
    <n v="60"/>
  </r>
  <r>
    <x v="1"/>
    <s v="group C"/>
    <x v="3"/>
    <s v="free/reduced"/>
    <x v="1"/>
    <n v="60"/>
    <n v="51"/>
    <n v="56"/>
  </r>
  <r>
    <x v="1"/>
    <s v="group E"/>
    <x v="4"/>
    <s v="standard"/>
    <x v="1"/>
    <n v="87"/>
    <n v="91"/>
    <n v="81"/>
  </r>
  <r>
    <x v="1"/>
    <s v="group B"/>
    <x v="5"/>
    <s v="standard"/>
    <x v="1"/>
    <n v="84"/>
    <n v="83"/>
    <n v="75"/>
  </r>
  <r>
    <x v="0"/>
    <s v="group E"/>
    <x v="3"/>
    <s v="free/reduced"/>
    <x v="1"/>
    <n v="83"/>
    <n v="86"/>
    <n v="88"/>
  </r>
  <r>
    <x v="0"/>
    <s v="group C"/>
    <x v="4"/>
    <s v="free/reduced"/>
    <x v="0"/>
    <n v="34"/>
    <n v="42"/>
    <n v="39"/>
  </r>
  <r>
    <x v="1"/>
    <s v="group B"/>
    <x v="4"/>
    <s v="free/reduced"/>
    <x v="0"/>
    <n v="66"/>
    <n v="77"/>
    <n v="70"/>
  </r>
  <r>
    <x v="1"/>
    <s v="group B"/>
    <x v="5"/>
    <s v="standard"/>
    <x v="1"/>
    <n v="61"/>
    <n v="56"/>
    <n v="56"/>
  </r>
  <r>
    <x v="0"/>
    <s v="group D"/>
    <x v="4"/>
    <s v="standard"/>
    <x v="1"/>
    <n v="56"/>
    <n v="68"/>
    <n v="74"/>
  </r>
  <r>
    <x v="1"/>
    <s v="group B"/>
    <x v="3"/>
    <s v="standard"/>
    <x v="0"/>
    <n v="87"/>
    <n v="85"/>
    <n v="73"/>
  </r>
  <r>
    <x v="0"/>
    <s v="group C"/>
    <x v="5"/>
    <s v="free/reduced"/>
    <x v="0"/>
    <n v="55"/>
    <n v="65"/>
    <n v="62"/>
  </r>
  <r>
    <x v="1"/>
    <s v="group D"/>
    <x v="5"/>
    <s v="standard"/>
    <x v="0"/>
    <n v="86"/>
    <n v="80"/>
    <n v="75"/>
  </r>
  <r>
    <x v="0"/>
    <s v="group B"/>
    <x v="3"/>
    <s v="standard"/>
    <x v="1"/>
    <n v="52"/>
    <n v="66"/>
    <n v="73"/>
  </r>
  <r>
    <x v="0"/>
    <s v="group E"/>
    <x v="2"/>
    <s v="free/reduced"/>
    <x v="0"/>
    <n v="45"/>
    <n v="56"/>
    <n v="54"/>
  </r>
  <r>
    <x v="0"/>
    <s v="group C"/>
    <x v="1"/>
    <s v="standard"/>
    <x v="0"/>
    <n v="72"/>
    <n v="72"/>
    <n v="71"/>
  </r>
  <r>
    <x v="1"/>
    <s v="group D"/>
    <x v="4"/>
    <s v="standard"/>
    <x v="0"/>
    <n v="57"/>
    <n v="50"/>
    <n v="54"/>
  </r>
  <r>
    <x v="1"/>
    <s v="group A"/>
    <x v="5"/>
    <s v="free/reduced"/>
    <x v="0"/>
    <n v="68"/>
    <n v="72"/>
    <n v="64"/>
  </r>
  <r>
    <x v="0"/>
    <s v="group C"/>
    <x v="1"/>
    <s v="standard"/>
    <x v="1"/>
    <n v="88"/>
    <n v="95"/>
    <n v="94"/>
  </r>
  <r>
    <x v="1"/>
    <s v="group D"/>
    <x v="1"/>
    <s v="standard"/>
    <x v="0"/>
    <n v="76"/>
    <n v="64"/>
    <n v="66"/>
  </r>
  <r>
    <x v="1"/>
    <s v="group C"/>
    <x v="3"/>
    <s v="standard"/>
    <x v="0"/>
    <n v="46"/>
    <n v="43"/>
    <n v="42"/>
  </r>
  <r>
    <x v="0"/>
    <s v="group B"/>
    <x v="0"/>
    <s v="standard"/>
    <x v="0"/>
    <n v="67"/>
    <n v="86"/>
    <n v="83"/>
  </r>
  <r>
    <x v="1"/>
    <s v="group E"/>
    <x v="5"/>
    <s v="standard"/>
    <x v="0"/>
    <n v="92"/>
    <n v="87"/>
    <n v="78"/>
  </r>
  <r>
    <x v="1"/>
    <s v="group C"/>
    <x v="0"/>
    <s v="standard"/>
    <x v="1"/>
    <n v="83"/>
    <n v="82"/>
    <n v="84"/>
  </r>
  <r>
    <x v="1"/>
    <s v="group D"/>
    <x v="3"/>
    <s v="standard"/>
    <x v="0"/>
    <n v="80"/>
    <n v="75"/>
    <n v="77"/>
  </r>
  <r>
    <x v="1"/>
    <s v="group D"/>
    <x v="0"/>
    <s v="free/reduced"/>
    <x v="0"/>
    <n v="63"/>
    <n v="66"/>
    <n v="67"/>
  </r>
  <r>
    <x v="0"/>
    <s v="group D"/>
    <x v="5"/>
    <s v="standard"/>
    <x v="1"/>
    <n v="64"/>
    <n v="60"/>
    <n v="74"/>
  </r>
  <r>
    <x v="1"/>
    <s v="group B"/>
    <x v="1"/>
    <s v="standard"/>
    <x v="0"/>
    <n v="54"/>
    <n v="52"/>
    <n v="51"/>
  </r>
  <r>
    <x v="1"/>
    <s v="group C"/>
    <x v="3"/>
    <s v="standard"/>
    <x v="0"/>
    <n v="84"/>
    <n v="80"/>
    <n v="80"/>
  </r>
  <r>
    <x v="1"/>
    <s v="group D"/>
    <x v="4"/>
    <s v="free/reduced"/>
    <x v="1"/>
    <n v="73"/>
    <n v="68"/>
    <n v="66"/>
  </r>
  <r>
    <x v="0"/>
    <s v="group E"/>
    <x v="0"/>
    <s v="standard"/>
    <x v="0"/>
    <n v="80"/>
    <n v="83"/>
    <n v="83"/>
  </r>
  <r>
    <x v="0"/>
    <s v="group D"/>
    <x v="4"/>
    <s v="standard"/>
    <x v="0"/>
    <n v="56"/>
    <n v="52"/>
    <n v="55"/>
  </r>
  <r>
    <x v="1"/>
    <s v="group E"/>
    <x v="1"/>
    <s v="standard"/>
    <x v="0"/>
    <n v="59"/>
    <n v="51"/>
    <n v="43"/>
  </r>
  <r>
    <x v="1"/>
    <s v="group D"/>
    <x v="5"/>
    <s v="standard"/>
    <x v="0"/>
    <n v="75"/>
    <n v="74"/>
    <n v="69"/>
  </r>
  <r>
    <x v="1"/>
    <s v="group C"/>
    <x v="3"/>
    <s v="standard"/>
    <x v="0"/>
    <n v="85"/>
    <n v="76"/>
    <n v="71"/>
  </r>
  <r>
    <x v="1"/>
    <s v="group E"/>
    <x v="3"/>
    <s v="standard"/>
    <x v="0"/>
    <n v="89"/>
    <n v="76"/>
    <n v="74"/>
  </r>
  <r>
    <x v="0"/>
    <s v="group B"/>
    <x v="4"/>
    <s v="standard"/>
    <x v="1"/>
    <n v="58"/>
    <n v="70"/>
    <n v="68"/>
  </r>
  <r>
    <x v="0"/>
    <s v="group B"/>
    <x v="4"/>
    <s v="standard"/>
    <x v="0"/>
    <n v="65"/>
    <n v="64"/>
    <n v="62"/>
  </r>
  <r>
    <x v="1"/>
    <s v="group C"/>
    <x v="4"/>
    <s v="standard"/>
    <x v="0"/>
    <n v="68"/>
    <n v="60"/>
    <n v="53"/>
  </r>
  <r>
    <x v="1"/>
    <s v="group A"/>
    <x v="5"/>
    <s v="standard"/>
    <x v="1"/>
    <n v="47"/>
    <n v="49"/>
    <n v="49"/>
  </r>
  <r>
    <x v="0"/>
    <s v="group D"/>
    <x v="1"/>
    <s v="free/reduced"/>
    <x v="0"/>
    <n v="71"/>
    <n v="83"/>
    <n v="83"/>
  </r>
  <r>
    <x v="0"/>
    <s v="group B"/>
    <x v="5"/>
    <s v="standard"/>
    <x v="1"/>
    <n v="60"/>
    <n v="70"/>
    <n v="70"/>
  </r>
  <r>
    <x v="1"/>
    <s v="group D"/>
    <x v="2"/>
    <s v="standard"/>
    <x v="0"/>
    <n v="80"/>
    <n v="80"/>
    <n v="72"/>
  </r>
  <r>
    <x v="1"/>
    <s v="group D"/>
    <x v="4"/>
    <s v="standard"/>
    <x v="0"/>
    <n v="54"/>
    <n v="52"/>
    <n v="52"/>
  </r>
  <r>
    <x v="0"/>
    <s v="group E"/>
    <x v="1"/>
    <s v="standard"/>
    <x v="0"/>
    <n v="62"/>
    <n v="73"/>
    <n v="70"/>
  </r>
  <r>
    <x v="0"/>
    <s v="group C"/>
    <x v="3"/>
    <s v="free/reduced"/>
    <x v="0"/>
    <n v="64"/>
    <n v="73"/>
    <n v="68"/>
  </r>
  <r>
    <x v="1"/>
    <s v="group C"/>
    <x v="3"/>
    <s v="standard"/>
    <x v="1"/>
    <n v="78"/>
    <n v="77"/>
    <n v="77"/>
  </r>
  <r>
    <x v="0"/>
    <s v="group B"/>
    <x v="1"/>
    <s v="standard"/>
    <x v="0"/>
    <n v="70"/>
    <n v="75"/>
    <n v="78"/>
  </r>
  <r>
    <x v="0"/>
    <s v="group C"/>
    <x v="2"/>
    <s v="free/reduced"/>
    <x v="1"/>
    <n v="65"/>
    <n v="81"/>
    <n v="81"/>
  </r>
  <r>
    <x v="0"/>
    <s v="group C"/>
    <x v="5"/>
    <s v="free/reduced"/>
    <x v="1"/>
    <n v="64"/>
    <n v="79"/>
    <n v="77"/>
  </r>
  <r>
    <x v="1"/>
    <s v="group C"/>
    <x v="1"/>
    <s v="standard"/>
    <x v="1"/>
    <n v="79"/>
    <n v="79"/>
    <n v="78"/>
  </r>
  <r>
    <x v="0"/>
    <s v="group C"/>
    <x v="5"/>
    <s v="free/reduced"/>
    <x v="0"/>
    <n v="44"/>
    <n v="50"/>
    <n v="51"/>
  </r>
  <r>
    <x v="0"/>
    <s v="group E"/>
    <x v="4"/>
    <s v="standard"/>
    <x v="0"/>
    <n v="99"/>
    <n v="93"/>
    <n v="90"/>
  </r>
  <r>
    <x v="1"/>
    <s v="group D"/>
    <x v="4"/>
    <s v="standard"/>
    <x v="0"/>
    <n v="76"/>
    <n v="73"/>
    <n v="68"/>
  </r>
  <r>
    <x v="1"/>
    <s v="group D"/>
    <x v="5"/>
    <s v="free/reduced"/>
    <x v="0"/>
    <n v="59"/>
    <n v="42"/>
    <n v="41"/>
  </r>
  <r>
    <x v="0"/>
    <s v="group C"/>
    <x v="0"/>
    <s v="standard"/>
    <x v="0"/>
    <n v="63"/>
    <n v="75"/>
    <n v="81"/>
  </r>
  <r>
    <x v="0"/>
    <s v="group D"/>
    <x v="4"/>
    <s v="standard"/>
    <x v="0"/>
    <n v="69"/>
    <n v="72"/>
    <n v="77"/>
  </r>
  <r>
    <x v="0"/>
    <s v="group D"/>
    <x v="3"/>
    <s v="standard"/>
    <x v="1"/>
    <n v="88"/>
    <n v="92"/>
    <n v="95"/>
  </r>
  <r>
    <x v="0"/>
    <s v="group E"/>
    <x v="1"/>
    <s v="free/reduced"/>
    <x v="0"/>
    <n v="71"/>
    <n v="76"/>
    <n v="70"/>
  </r>
  <r>
    <x v="1"/>
    <s v="group C"/>
    <x v="0"/>
    <s v="standard"/>
    <x v="0"/>
    <n v="69"/>
    <n v="63"/>
    <n v="61"/>
  </r>
  <r>
    <x v="1"/>
    <s v="group C"/>
    <x v="1"/>
    <s v="standard"/>
    <x v="0"/>
    <n v="58"/>
    <n v="49"/>
    <n v="42"/>
  </r>
  <r>
    <x v="0"/>
    <s v="group D"/>
    <x v="3"/>
    <s v="free/reduced"/>
    <x v="0"/>
    <n v="47"/>
    <n v="53"/>
    <n v="58"/>
  </r>
  <r>
    <x v="0"/>
    <s v="group D"/>
    <x v="1"/>
    <s v="standard"/>
    <x v="0"/>
    <n v="65"/>
    <n v="70"/>
    <n v="71"/>
  </r>
  <r>
    <x v="1"/>
    <s v="group B"/>
    <x v="1"/>
    <s v="standard"/>
    <x v="1"/>
    <n v="88"/>
    <n v="85"/>
    <n v="76"/>
  </r>
  <r>
    <x v="1"/>
    <s v="group C"/>
    <x v="0"/>
    <s v="standard"/>
    <x v="0"/>
    <n v="83"/>
    <n v="78"/>
    <n v="73"/>
  </r>
  <r>
    <x v="0"/>
    <s v="group C"/>
    <x v="5"/>
    <s v="standard"/>
    <x v="1"/>
    <n v="85"/>
    <n v="92"/>
    <n v="93"/>
  </r>
  <r>
    <x v="0"/>
    <s v="group E"/>
    <x v="4"/>
    <s v="standard"/>
    <x v="1"/>
    <n v="59"/>
    <n v="63"/>
    <n v="75"/>
  </r>
  <r>
    <x v="0"/>
    <s v="group C"/>
    <x v="5"/>
    <s v="free/reduced"/>
    <x v="0"/>
    <n v="65"/>
    <n v="86"/>
    <n v="80"/>
  </r>
  <r>
    <x v="1"/>
    <s v="group B"/>
    <x v="0"/>
    <s v="free/reduced"/>
    <x v="0"/>
    <n v="73"/>
    <n v="56"/>
    <n v="57"/>
  </r>
  <r>
    <x v="1"/>
    <s v="group D"/>
    <x v="4"/>
    <s v="standard"/>
    <x v="0"/>
    <n v="53"/>
    <n v="52"/>
    <n v="42"/>
  </r>
  <r>
    <x v="1"/>
    <s v="group D"/>
    <x v="4"/>
    <s v="standard"/>
    <x v="0"/>
    <n v="45"/>
    <n v="48"/>
    <n v="46"/>
  </r>
  <r>
    <x v="0"/>
    <s v="group D"/>
    <x v="0"/>
    <s v="free/reduced"/>
    <x v="0"/>
    <n v="73"/>
    <n v="79"/>
    <n v="84"/>
  </r>
  <r>
    <x v="0"/>
    <s v="group D"/>
    <x v="1"/>
    <s v="free/reduced"/>
    <x v="1"/>
    <n v="70"/>
    <n v="78"/>
    <n v="78"/>
  </r>
  <r>
    <x v="0"/>
    <s v="group B"/>
    <x v="5"/>
    <s v="standard"/>
    <x v="0"/>
    <n v="37"/>
    <n v="46"/>
    <n v="46"/>
  </r>
  <r>
    <x v="1"/>
    <s v="group B"/>
    <x v="3"/>
    <s v="standard"/>
    <x v="1"/>
    <n v="81"/>
    <n v="82"/>
    <n v="82"/>
  </r>
  <r>
    <x v="1"/>
    <s v="group E"/>
    <x v="3"/>
    <s v="standard"/>
    <x v="1"/>
    <n v="97"/>
    <n v="82"/>
    <n v="88"/>
  </r>
  <r>
    <x v="0"/>
    <s v="group B"/>
    <x v="5"/>
    <s v="standard"/>
    <x v="0"/>
    <n v="67"/>
    <n v="89"/>
    <n v="82"/>
  </r>
  <r>
    <x v="1"/>
    <s v="group B"/>
    <x v="0"/>
    <s v="free/reduced"/>
    <x v="0"/>
    <n v="88"/>
    <n v="75"/>
    <n v="76"/>
  </r>
  <r>
    <x v="1"/>
    <s v="group E"/>
    <x v="5"/>
    <s v="standard"/>
    <x v="1"/>
    <n v="77"/>
    <n v="76"/>
    <n v="77"/>
  </r>
  <r>
    <x v="1"/>
    <s v="group C"/>
    <x v="3"/>
    <s v="standard"/>
    <x v="0"/>
    <n v="76"/>
    <n v="70"/>
    <n v="68"/>
  </r>
  <r>
    <x v="1"/>
    <s v="group D"/>
    <x v="5"/>
    <s v="standard"/>
    <x v="0"/>
    <n v="86"/>
    <n v="73"/>
    <n v="70"/>
  </r>
  <r>
    <x v="1"/>
    <s v="group C"/>
    <x v="5"/>
    <s v="standard"/>
    <x v="1"/>
    <n v="63"/>
    <n v="60"/>
    <n v="57"/>
  </r>
  <r>
    <x v="0"/>
    <s v="group E"/>
    <x v="0"/>
    <s v="standard"/>
    <x v="0"/>
    <n v="65"/>
    <n v="73"/>
    <n v="75"/>
  </r>
  <r>
    <x v="1"/>
    <s v="group D"/>
    <x v="4"/>
    <s v="free/reduced"/>
    <x v="1"/>
    <n v="78"/>
    <n v="77"/>
    <n v="80"/>
  </r>
  <r>
    <x v="1"/>
    <s v="group B"/>
    <x v="3"/>
    <s v="free/reduced"/>
    <x v="0"/>
    <n v="67"/>
    <n v="62"/>
    <n v="60"/>
  </r>
  <r>
    <x v="1"/>
    <s v="group A"/>
    <x v="5"/>
    <s v="standard"/>
    <x v="1"/>
    <n v="46"/>
    <n v="41"/>
    <n v="43"/>
  </r>
  <r>
    <x v="1"/>
    <s v="group E"/>
    <x v="3"/>
    <s v="standard"/>
    <x v="1"/>
    <n v="71"/>
    <n v="74"/>
    <n v="68"/>
  </r>
  <r>
    <x v="1"/>
    <s v="group C"/>
    <x v="4"/>
    <s v="free/reduced"/>
    <x v="1"/>
    <n v="40"/>
    <n v="46"/>
    <n v="50"/>
  </r>
  <r>
    <x v="1"/>
    <s v="group D"/>
    <x v="3"/>
    <s v="free/reduced"/>
    <x v="0"/>
    <n v="90"/>
    <n v="87"/>
    <n v="75"/>
  </r>
  <r>
    <x v="1"/>
    <s v="group A"/>
    <x v="1"/>
    <s v="free/reduced"/>
    <x v="1"/>
    <n v="81"/>
    <n v="78"/>
    <n v="81"/>
  </r>
  <r>
    <x v="1"/>
    <s v="group D"/>
    <x v="5"/>
    <s v="free/reduced"/>
    <x v="0"/>
    <n v="56"/>
    <n v="54"/>
    <n v="52"/>
  </r>
  <r>
    <x v="0"/>
    <s v="group C"/>
    <x v="3"/>
    <s v="standard"/>
    <x v="1"/>
    <n v="67"/>
    <n v="84"/>
    <n v="81"/>
  </r>
  <r>
    <x v="1"/>
    <s v="group B"/>
    <x v="3"/>
    <s v="standard"/>
    <x v="0"/>
    <n v="80"/>
    <n v="76"/>
    <n v="64"/>
  </r>
  <r>
    <x v="0"/>
    <s v="group C"/>
    <x v="3"/>
    <s v="standard"/>
    <x v="1"/>
    <n v="74"/>
    <n v="75"/>
    <n v="83"/>
  </r>
  <r>
    <x v="1"/>
    <s v="group A"/>
    <x v="1"/>
    <s v="standard"/>
    <x v="0"/>
    <n v="69"/>
    <n v="67"/>
    <n v="69"/>
  </r>
  <r>
    <x v="1"/>
    <s v="group E"/>
    <x v="1"/>
    <s v="standard"/>
    <x v="1"/>
    <n v="99"/>
    <n v="87"/>
    <n v="81"/>
  </r>
  <r>
    <x v="1"/>
    <s v="group C"/>
    <x v="5"/>
    <s v="standard"/>
    <x v="0"/>
    <n v="51"/>
    <n v="52"/>
    <n v="44"/>
  </r>
  <r>
    <x v="0"/>
    <s v="group B"/>
    <x v="3"/>
    <s v="free/reduced"/>
    <x v="0"/>
    <n v="53"/>
    <n v="71"/>
    <n v="67"/>
  </r>
  <r>
    <x v="0"/>
    <s v="group D"/>
    <x v="4"/>
    <s v="free/reduced"/>
    <x v="0"/>
    <n v="49"/>
    <n v="57"/>
    <n v="52"/>
  </r>
  <r>
    <x v="0"/>
    <s v="group B"/>
    <x v="3"/>
    <s v="standard"/>
    <x v="0"/>
    <n v="73"/>
    <n v="76"/>
    <n v="80"/>
  </r>
  <r>
    <x v="1"/>
    <s v="group B"/>
    <x v="0"/>
    <s v="standard"/>
    <x v="0"/>
    <n v="66"/>
    <n v="60"/>
    <n v="57"/>
  </r>
  <r>
    <x v="1"/>
    <s v="group D"/>
    <x v="0"/>
    <s v="standard"/>
    <x v="1"/>
    <n v="67"/>
    <n v="61"/>
    <n v="68"/>
  </r>
  <r>
    <x v="0"/>
    <s v="group C"/>
    <x v="3"/>
    <s v="free/reduced"/>
    <x v="1"/>
    <n v="68"/>
    <n v="67"/>
    <n v="69"/>
  </r>
  <r>
    <x v="0"/>
    <s v="group C"/>
    <x v="0"/>
    <s v="standard"/>
    <x v="1"/>
    <n v="59"/>
    <n v="64"/>
    <n v="75"/>
  </r>
  <r>
    <x v="1"/>
    <s v="group C"/>
    <x v="4"/>
    <s v="standard"/>
    <x v="0"/>
    <n v="71"/>
    <n v="66"/>
    <n v="65"/>
  </r>
  <r>
    <x v="0"/>
    <s v="group D"/>
    <x v="2"/>
    <s v="standard"/>
    <x v="1"/>
    <n v="77"/>
    <n v="82"/>
    <n v="91"/>
  </r>
  <r>
    <x v="1"/>
    <s v="group C"/>
    <x v="3"/>
    <s v="standard"/>
    <x v="0"/>
    <n v="83"/>
    <n v="72"/>
    <n v="78"/>
  </r>
  <r>
    <x v="1"/>
    <s v="group B"/>
    <x v="0"/>
    <s v="standard"/>
    <x v="0"/>
    <n v="63"/>
    <n v="71"/>
    <n v="69"/>
  </r>
  <r>
    <x v="0"/>
    <s v="group D"/>
    <x v="3"/>
    <s v="free/reduced"/>
    <x v="0"/>
    <n v="56"/>
    <n v="65"/>
    <n v="63"/>
  </r>
  <r>
    <x v="0"/>
    <s v="group C"/>
    <x v="4"/>
    <s v="free/reduced"/>
    <x v="1"/>
    <n v="67"/>
    <n v="79"/>
    <n v="84"/>
  </r>
  <r>
    <x v="0"/>
    <s v="group E"/>
    <x v="4"/>
    <s v="standard"/>
    <x v="0"/>
    <n v="75"/>
    <n v="86"/>
    <n v="79"/>
  </r>
  <r>
    <x v="0"/>
    <s v="group C"/>
    <x v="1"/>
    <s v="standard"/>
    <x v="0"/>
    <n v="71"/>
    <n v="81"/>
    <n v="80"/>
  </r>
  <r>
    <x v="0"/>
    <s v="group C"/>
    <x v="5"/>
    <s v="free/reduced"/>
    <x v="0"/>
    <n v="43"/>
    <n v="53"/>
    <n v="53"/>
  </r>
  <r>
    <x v="0"/>
    <s v="group C"/>
    <x v="4"/>
    <s v="free/reduced"/>
    <x v="0"/>
    <n v="41"/>
    <n v="46"/>
    <n v="43"/>
  </r>
  <r>
    <x v="0"/>
    <s v="group C"/>
    <x v="1"/>
    <s v="standard"/>
    <x v="0"/>
    <n v="82"/>
    <n v="90"/>
    <n v="94"/>
  </r>
  <r>
    <x v="1"/>
    <s v="group C"/>
    <x v="1"/>
    <s v="standard"/>
    <x v="0"/>
    <n v="61"/>
    <n v="61"/>
    <n v="62"/>
  </r>
  <r>
    <x v="1"/>
    <s v="group A"/>
    <x v="1"/>
    <s v="free/reduced"/>
    <x v="0"/>
    <n v="28"/>
    <n v="23"/>
    <n v="19"/>
  </r>
  <r>
    <x v="1"/>
    <s v="group C"/>
    <x v="3"/>
    <s v="standard"/>
    <x v="1"/>
    <n v="82"/>
    <n v="75"/>
    <n v="77"/>
  </r>
  <r>
    <x v="0"/>
    <s v="group B"/>
    <x v="5"/>
    <s v="standard"/>
    <x v="0"/>
    <n v="41"/>
    <n v="55"/>
    <n v="51"/>
  </r>
  <r>
    <x v="1"/>
    <s v="group C"/>
    <x v="4"/>
    <s v="standard"/>
    <x v="0"/>
    <n v="71"/>
    <n v="60"/>
    <n v="61"/>
  </r>
  <r>
    <x v="1"/>
    <s v="group C"/>
    <x v="3"/>
    <s v="standard"/>
    <x v="0"/>
    <n v="47"/>
    <n v="37"/>
    <n v="35"/>
  </r>
  <r>
    <x v="1"/>
    <s v="group E"/>
    <x v="3"/>
    <s v="standard"/>
    <x v="1"/>
    <n v="62"/>
    <n v="56"/>
    <n v="53"/>
  </r>
  <r>
    <x v="1"/>
    <s v="group B"/>
    <x v="3"/>
    <s v="standard"/>
    <x v="0"/>
    <n v="90"/>
    <n v="78"/>
    <n v="81"/>
  </r>
  <r>
    <x v="0"/>
    <s v="group C"/>
    <x v="0"/>
    <s v="standard"/>
    <x v="0"/>
    <n v="83"/>
    <n v="93"/>
    <n v="95"/>
  </r>
  <r>
    <x v="0"/>
    <s v="group B"/>
    <x v="1"/>
    <s v="free/reduced"/>
    <x v="0"/>
    <n v="61"/>
    <n v="68"/>
    <n v="66"/>
  </r>
  <r>
    <x v="1"/>
    <s v="group D"/>
    <x v="5"/>
    <s v="standard"/>
    <x v="1"/>
    <n v="76"/>
    <n v="70"/>
    <n v="69"/>
  </r>
  <r>
    <x v="1"/>
    <s v="group C"/>
    <x v="3"/>
    <s v="standard"/>
    <x v="0"/>
    <n v="49"/>
    <n v="51"/>
    <n v="43"/>
  </r>
  <r>
    <x v="0"/>
    <s v="group B"/>
    <x v="5"/>
    <s v="free/reduced"/>
    <x v="0"/>
    <n v="24"/>
    <n v="38"/>
    <n v="27"/>
  </r>
  <r>
    <x v="0"/>
    <s v="group D"/>
    <x v="5"/>
    <s v="free/reduced"/>
    <x v="1"/>
    <n v="35"/>
    <n v="55"/>
    <n v="60"/>
  </r>
  <r>
    <x v="1"/>
    <s v="group C"/>
    <x v="4"/>
    <s v="free/reduced"/>
    <x v="0"/>
    <n v="58"/>
    <n v="61"/>
    <n v="52"/>
  </r>
  <r>
    <x v="0"/>
    <s v="group C"/>
    <x v="4"/>
    <s v="standard"/>
    <x v="0"/>
    <n v="61"/>
    <n v="73"/>
    <n v="63"/>
  </r>
  <r>
    <x v="0"/>
    <s v="group B"/>
    <x v="4"/>
    <s v="standard"/>
    <x v="1"/>
    <n v="69"/>
    <n v="76"/>
    <n v="74"/>
  </r>
  <r>
    <x v="1"/>
    <s v="group D"/>
    <x v="3"/>
    <s v="standard"/>
    <x v="1"/>
    <n v="67"/>
    <n v="72"/>
    <n v="67"/>
  </r>
  <r>
    <x v="1"/>
    <s v="group D"/>
    <x v="1"/>
    <s v="standard"/>
    <x v="0"/>
    <n v="79"/>
    <n v="73"/>
    <n v="67"/>
  </r>
  <r>
    <x v="0"/>
    <s v="group C"/>
    <x v="4"/>
    <s v="standard"/>
    <x v="0"/>
    <n v="72"/>
    <n v="80"/>
    <n v="75"/>
  </r>
  <r>
    <x v="1"/>
    <s v="group B"/>
    <x v="1"/>
    <s v="standard"/>
    <x v="0"/>
    <n v="62"/>
    <n v="61"/>
    <n v="57"/>
  </r>
  <r>
    <x v="0"/>
    <s v="group C"/>
    <x v="0"/>
    <s v="standard"/>
    <x v="1"/>
    <n v="77"/>
    <n v="94"/>
    <n v="95"/>
  </r>
  <r>
    <x v="1"/>
    <s v="group D"/>
    <x v="4"/>
    <s v="free/reduced"/>
    <x v="0"/>
    <n v="75"/>
    <n v="74"/>
    <n v="66"/>
  </r>
  <r>
    <x v="1"/>
    <s v="group E"/>
    <x v="3"/>
    <s v="standard"/>
    <x v="0"/>
    <n v="87"/>
    <n v="74"/>
    <n v="76"/>
  </r>
  <r>
    <x v="0"/>
    <s v="group B"/>
    <x v="0"/>
    <s v="standard"/>
    <x v="0"/>
    <n v="52"/>
    <n v="65"/>
    <n v="69"/>
  </r>
  <r>
    <x v="1"/>
    <s v="group E"/>
    <x v="1"/>
    <s v="standard"/>
    <x v="0"/>
    <n v="66"/>
    <n v="57"/>
    <n v="52"/>
  </r>
  <r>
    <x v="0"/>
    <s v="group C"/>
    <x v="1"/>
    <s v="standard"/>
    <x v="1"/>
    <n v="63"/>
    <n v="78"/>
    <n v="80"/>
  </r>
  <r>
    <x v="0"/>
    <s v="group C"/>
    <x v="3"/>
    <s v="standard"/>
    <x v="0"/>
    <n v="46"/>
    <n v="58"/>
    <n v="57"/>
  </r>
  <r>
    <x v="0"/>
    <s v="group C"/>
    <x v="1"/>
    <s v="standard"/>
    <x v="0"/>
    <n v="59"/>
    <n v="71"/>
    <n v="70"/>
  </r>
  <r>
    <x v="0"/>
    <s v="group B"/>
    <x v="0"/>
    <s v="standard"/>
    <x v="0"/>
    <n v="61"/>
    <n v="72"/>
    <n v="70"/>
  </r>
  <r>
    <x v="1"/>
    <s v="group A"/>
    <x v="3"/>
    <s v="standard"/>
    <x v="0"/>
    <n v="63"/>
    <n v="61"/>
    <n v="61"/>
  </r>
  <r>
    <x v="0"/>
    <s v="group C"/>
    <x v="1"/>
    <s v="free/reduced"/>
    <x v="1"/>
    <n v="42"/>
    <n v="66"/>
    <n v="69"/>
  </r>
  <r>
    <x v="1"/>
    <s v="group D"/>
    <x v="1"/>
    <s v="free/reduced"/>
    <x v="0"/>
    <n v="59"/>
    <n v="62"/>
    <n v="61"/>
  </r>
  <r>
    <x v="0"/>
    <s v="group D"/>
    <x v="1"/>
    <s v="standard"/>
    <x v="0"/>
    <n v="80"/>
    <n v="90"/>
    <n v="89"/>
  </r>
  <r>
    <x v="0"/>
    <s v="group B"/>
    <x v="4"/>
    <s v="standard"/>
    <x v="0"/>
    <n v="58"/>
    <n v="62"/>
    <n v="59"/>
  </r>
  <r>
    <x v="1"/>
    <s v="group B"/>
    <x v="5"/>
    <s v="standard"/>
    <x v="1"/>
    <n v="85"/>
    <n v="84"/>
    <n v="78"/>
  </r>
  <r>
    <x v="0"/>
    <s v="group C"/>
    <x v="1"/>
    <s v="standard"/>
    <x v="0"/>
    <n v="52"/>
    <n v="58"/>
    <n v="58"/>
  </r>
  <r>
    <x v="0"/>
    <s v="group D"/>
    <x v="5"/>
    <s v="free/reduced"/>
    <x v="0"/>
    <n v="27"/>
    <n v="34"/>
    <n v="32"/>
  </r>
  <r>
    <x v="1"/>
    <s v="group C"/>
    <x v="1"/>
    <s v="standard"/>
    <x v="0"/>
    <n v="59"/>
    <n v="60"/>
    <n v="58"/>
  </r>
  <r>
    <x v="1"/>
    <s v="group A"/>
    <x v="0"/>
    <s v="free/reduced"/>
    <x v="1"/>
    <n v="49"/>
    <n v="58"/>
    <n v="60"/>
  </r>
  <r>
    <x v="1"/>
    <s v="group C"/>
    <x v="4"/>
    <s v="standard"/>
    <x v="1"/>
    <n v="69"/>
    <n v="58"/>
    <n v="53"/>
  </r>
  <r>
    <x v="1"/>
    <s v="group C"/>
    <x v="0"/>
    <s v="free/reduced"/>
    <x v="0"/>
    <n v="61"/>
    <n v="66"/>
    <n v="61"/>
  </r>
  <r>
    <x v="0"/>
    <s v="group A"/>
    <x v="5"/>
    <s v="free/reduced"/>
    <x v="0"/>
    <n v="44"/>
    <n v="64"/>
    <n v="58"/>
  </r>
  <r>
    <x v="0"/>
    <s v="group D"/>
    <x v="5"/>
    <s v="standard"/>
    <x v="0"/>
    <n v="73"/>
    <n v="84"/>
    <n v="85"/>
  </r>
  <r>
    <x v="1"/>
    <s v="group E"/>
    <x v="1"/>
    <s v="standard"/>
    <x v="0"/>
    <n v="84"/>
    <n v="77"/>
    <n v="71"/>
  </r>
  <r>
    <x v="0"/>
    <s v="group C"/>
    <x v="1"/>
    <s v="free/reduced"/>
    <x v="1"/>
    <n v="45"/>
    <n v="73"/>
    <n v="70"/>
  </r>
  <r>
    <x v="1"/>
    <s v="group D"/>
    <x v="5"/>
    <s v="standard"/>
    <x v="0"/>
    <n v="74"/>
    <n v="74"/>
    <n v="72"/>
  </r>
  <r>
    <x v="0"/>
    <s v="group D"/>
    <x v="1"/>
    <s v="standard"/>
    <x v="1"/>
    <n v="82"/>
    <n v="97"/>
    <n v="96"/>
  </r>
  <r>
    <x v="0"/>
    <s v="group D"/>
    <x v="0"/>
    <s v="standard"/>
    <x v="0"/>
    <n v="59"/>
    <n v="70"/>
    <n v="73"/>
  </r>
  <r>
    <x v="1"/>
    <s v="group E"/>
    <x v="3"/>
    <s v="free/reduced"/>
    <x v="0"/>
    <n v="46"/>
    <n v="43"/>
    <n v="41"/>
  </r>
  <r>
    <x v="0"/>
    <s v="group D"/>
    <x v="5"/>
    <s v="standard"/>
    <x v="0"/>
    <n v="80"/>
    <n v="90"/>
    <n v="82"/>
  </r>
  <r>
    <x v="0"/>
    <s v="group D"/>
    <x v="2"/>
    <s v="free/reduced"/>
    <x v="1"/>
    <n v="85"/>
    <n v="95"/>
    <n v="100"/>
  </r>
  <r>
    <x v="0"/>
    <s v="group A"/>
    <x v="5"/>
    <s v="standard"/>
    <x v="0"/>
    <n v="71"/>
    <n v="83"/>
    <n v="77"/>
  </r>
  <r>
    <x v="1"/>
    <s v="group A"/>
    <x v="0"/>
    <s v="standard"/>
    <x v="0"/>
    <n v="66"/>
    <n v="64"/>
    <n v="62"/>
  </r>
  <r>
    <x v="0"/>
    <s v="group B"/>
    <x v="3"/>
    <s v="standard"/>
    <x v="0"/>
    <n v="80"/>
    <n v="86"/>
    <n v="83"/>
  </r>
  <r>
    <x v="1"/>
    <s v="group C"/>
    <x v="3"/>
    <s v="standard"/>
    <x v="1"/>
    <n v="87"/>
    <n v="100"/>
    <n v="95"/>
  </r>
  <r>
    <x v="1"/>
    <s v="group C"/>
    <x v="2"/>
    <s v="free/reduced"/>
    <x v="0"/>
    <n v="79"/>
    <n v="81"/>
    <n v="71"/>
  </r>
  <r>
    <x v="0"/>
    <s v="group E"/>
    <x v="5"/>
    <s v="free/reduced"/>
    <x v="0"/>
    <n v="38"/>
    <n v="49"/>
    <n v="45"/>
  </r>
  <r>
    <x v="0"/>
    <s v="group A"/>
    <x v="5"/>
    <s v="free/reduced"/>
    <x v="0"/>
    <n v="38"/>
    <n v="43"/>
    <n v="43"/>
  </r>
  <r>
    <x v="0"/>
    <s v="group E"/>
    <x v="1"/>
    <s v="standard"/>
    <x v="0"/>
    <n v="67"/>
    <n v="76"/>
    <n v="75"/>
  </r>
  <r>
    <x v="0"/>
    <s v="group E"/>
    <x v="0"/>
    <s v="standard"/>
    <x v="0"/>
    <n v="64"/>
    <n v="73"/>
    <n v="70"/>
  </r>
  <r>
    <x v="0"/>
    <s v="group C"/>
    <x v="3"/>
    <s v="free/reduced"/>
    <x v="0"/>
    <n v="57"/>
    <n v="78"/>
    <n v="67"/>
  </r>
  <r>
    <x v="0"/>
    <s v="group D"/>
    <x v="4"/>
    <s v="standard"/>
    <x v="0"/>
    <n v="62"/>
    <n v="64"/>
    <n v="64"/>
  </r>
  <r>
    <x v="1"/>
    <s v="group D"/>
    <x v="2"/>
    <s v="standard"/>
    <x v="0"/>
    <n v="73"/>
    <n v="70"/>
    <n v="75"/>
  </r>
  <r>
    <x v="1"/>
    <s v="group E"/>
    <x v="5"/>
    <s v="free/reduced"/>
    <x v="1"/>
    <n v="73"/>
    <n v="67"/>
    <n v="59"/>
  </r>
  <r>
    <x v="0"/>
    <s v="group D"/>
    <x v="1"/>
    <s v="standard"/>
    <x v="0"/>
    <n v="77"/>
    <n v="68"/>
    <n v="77"/>
  </r>
  <r>
    <x v="1"/>
    <s v="group E"/>
    <x v="1"/>
    <s v="standard"/>
    <x v="0"/>
    <n v="76"/>
    <n v="67"/>
    <n v="67"/>
  </r>
  <r>
    <x v="1"/>
    <s v="group C"/>
    <x v="3"/>
    <s v="standard"/>
    <x v="1"/>
    <n v="57"/>
    <n v="54"/>
    <n v="56"/>
  </r>
  <r>
    <x v="0"/>
    <s v="group C"/>
    <x v="5"/>
    <s v="standard"/>
    <x v="1"/>
    <n v="65"/>
    <n v="74"/>
    <n v="77"/>
  </r>
  <r>
    <x v="1"/>
    <s v="group A"/>
    <x v="4"/>
    <s v="free/reduced"/>
    <x v="0"/>
    <n v="48"/>
    <n v="45"/>
    <n v="41"/>
  </r>
  <r>
    <x v="0"/>
    <s v="group B"/>
    <x v="4"/>
    <s v="free/reduced"/>
    <x v="0"/>
    <n v="50"/>
    <n v="67"/>
    <n v="63"/>
  </r>
  <r>
    <x v="0"/>
    <s v="group C"/>
    <x v="3"/>
    <s v="standard"/>
    <x v="0"/>
    <n v="85"/>
    <n v="89"/>
    <n v="95"/>
  </r>
  <r>
    <x v="1"/>
    <s v="group B"/>
    <x v="5"/>
    <s v="standard"/>
    <x v="0"/>
    <n v="74"/>
    <n v="63"/>
    <n v="57"/>
  </r>
  <r>
    <x v="1"/>
    <s v="group D"/>
    <x v="5"/>
    <s v="standard"/>
    <x v="0"/>
    <n v="60"/>
    <n v="59"/>
    <n v="54"/>
  </r>
  <r>
    <x v="0"/>
    <s v="group C"/>
    <x v="5"/>
    <s v="standard"/>
    <x v="1"/>
    <n v="59"/>
    <n v="54"/>
    <n v="67"/>
  </r>
  <r>
    <x v="1"/>
    <s v="group A"/>
    <x v="1"/>
    <s v="standard"/>
    <x v="0"/>
    <n v="53"/>
    <n v="43"/>
    <n v="43"/>
  </r>
  <r>
    <x v="0"/>
    <s v="group A"/>
    <x v="1"/>
    <s v="free/reduced"/>
    <x v="0"/>
    <n v="49"/>
    <n v="65"/>
    <n v="55"/>
  </r>
  <r>
    <x v="0"/>
    <s v="group D"/>
    <x v="4"/>
    <s v="standard"/>
    <x v="1"/>
    <n v="88"/>
    <n v="99"/>
    <n v="100"/>
  </r>
  <r>
    <x v="0"/>
    <s v="group C"/>
    <x v="4"/>
    <s v="standard"/>
    <x v="0"/>
    <n v="54"/>
    <n v="59"/>
    <n v="62"/>
  </r>
  <r>
    <x v="0"/>
    <s v="group C"/>
    <x v="5"/>
    <s v="standard"/>
    <x v="0"/>
    <n v="63"/>
    <n v="73"/>
    <n v="68"/>
  </r>
  <r>
    <x v="1"/>
    <s v="group B"/>
    <x v="3"/>
    <s v="standard"/>
    <x v="1"/>
    <n v="65"/>
    <n v="65"/>
    <n v="63"/>
  </r>
  <r>
    <x v="0"/>
    <s v="group B"/>
    <x v="3"/>
    <s v="standard"/>
    <x v="0"/>
    <n v="82"/>
    <n v="80"/>
    <n v="77"/>
  </r>
  <r>
    <x v="0"/>
    <s v="group D"/>
    <x v="4"/>
    <s v="free/reduced"/>
    <x v="1"/>
    <n v="52"/>
    <n v="57"/>
    <n v="56"/>
  </r>
  <r>
    <x v="1"/>
    <s v="group D"/>
    <x v="3"/>
    <s v="standard"/>
    <x v="1"/>
    <n v="87"/>
    <n v="84"/>
    <n v="85"/>
  </r>
  <r>
    <x v="0"/>
    <s v="group D"/>
    <x v="2"/>
    <s v="standard"/>
    <x v="1"/>
    <n v="70"/>
    <n v="71"/>
    <n v="74"/>
  </r>
  <r>
    <x v="1"/>
    <s v="group E"/>
    <x v="1"/>
    <s v="standard"/>
    <x v="1"/>
    <n v="84"/>
    <n v="83"/>
    <n v="78"/>
  </r>
  <r>
    <x v="1"/>
    <s v="group D"/>
    <x v="3"/>
    <s v="standard"/>
    <x v="0"/>
    <n v="71"/>
    <n v="66"/>
    <n v="60"/>
  </r>
  <r>
    <x v="1"/>
    <s v="group B"/>
    <x v="5"/>
    <s v="standard"/>
    <x v="1"/>
    <n v="63"/>
    <n v="67"/>
    <n v="67"/>
  </r>
  <r>
    <x v="0"/>
    <s v="group C"/>
    <x v="0"/>
    <s v="free/reduced"/>
    <x v="1"/>
    <n v="51"/>
    <n v="72"/>
    <n v="79"/>
  </r>
  <r>
    <x v="1"/>
    <s v="group E"/>
    <x v="4"/>
    <s v="standard"/>
    <x v="0"/>
    <n v="84"/>
    <n v="73"/>
    <n v="69"/>
  </r>
  <r>
    <x v="1"/>
    <s v="group C"/>
    <x v="0"/>
    <s v="standard"/>
    <x v="1"/>
    <n v="71"/>
    <n v="74"/>
    <n v="68"/>
  </r>
  <r>
    <x v="1"/>
    <s v="group C"/>
    <x v="3"/>
    <s v="standard"/>
    <x v="0"/>
    <n v="74"/>
    <n v="73"/>
    <n v="67"/>
  </r>
  <r>
    <x v="1"/>
    <s v="group D"/>
    <x v="1"/>
    <s v="standard"/>
    <x v="0"/>
    <n v="68"/>
    <n v="59"/>
    <n v="62"/>
  </r>
  <r>
    <x v="1"/>
    <s v="group E"/>
    <x v="4"/>
    <s v="free/reduced"/>
    <x v="1"/>
    <n v="57"/>
    <n v="56"/>
    <n v="54"/>
  </r>
  <r>
    <x v="0"/>
    <s v="group C"/>
    <x v="3"/>
    <s v="free/reduced"/>
    <x v="1"/>
    <n v="82"/>
    <n v="93"/>
    <n v="93"/>
  </r>
  <r>
    <x v="0"/>
    <s v="group D"/>
    <x v="4"/>
    <s v="standard"/>
    <x v="1"/>
    <n v="57"/>
    <n v="58"/>
    <n v="64"/>
  </r>
  <r>
    <x v="0"/>
    <s v="group D"/>
    <x v="2"/>
    <s v="free/reduced"/>
    <x v="1"/>
    <n v="47"/>
    <n v="58"/>
    <n v="67"/>
  </r>
  <r>
    <x v="0"/>
    <s v="group A"/>
    <x v="5"/>
    <s v="standard"/>
    <x v="1"/>
    <n v="59"/>
    <n v="85"/>
    <n v="80"/>
  </r>
  <r>
    <x v="1"/>
    <s v="group B"/>
    <x v="1"/>
    <s v="free/reduced"/>
    <x v="0"/>
    <n v="41"/>
    <n v="39"/>
    <n v="34"/>
  </r>
  <r>
    <x v="0"/>
    <s v="group C"/>
    <x v="1"/>
    <s v="free/reduced"/>
    <x v="0"/>
    <n v="62"/>
    <n v="67"/>
    <n v="62"/>
  </r>
  <r>
    <x v="1"/>
    <s v="group C"/>
    <x v="0"/>
    <s v="standard"/>
    <x v="0"/>
    <n v="86"/>
    <n v="83"/>
    <n v="86"/>
  </r>
  <r>
    <x v="1"/>
    <s v="group C"/>
    <x v="5"/>
    <s v="free/reduced"/>
    <x v="0"/>
    <n v="69"/>
    <n v="71"/>
    <n v="65"/>
  </r>
  <r>
    <x v="1"/>
    <s v="group A"/>
    <x v="5"/>
    <s v="free/reduced"/>
    <x v="0"/>
    <n v="65"/>
    <n v="59"/>
    <n v="53"/>
  </r>
  <r>
    <x v="1"/>
    <s v="group C"/>
    <x v="5"/>
    <s v="free/reduced"/>
    <x v="0"/>
    <n v="68"/>
    <n v="63"/>
    <n v="54"/>
  </r>
  <r>
    <x v="1"/>
    <s v="group C"/>
    <x v="3"/>
    <s v="free/reduced"/>
    <x v="0"/>
    <n v="64"/>
    <n v="66"/>
    <n v="59"/>
  </r>
  <r>
    <x v="0"/>
    <s v="group C"/>
    <x v="4"/>
    <s v="standard"/>
    <x v="0"/>
    <n v="61"/>
    <n v="72"/>
    <n v="70"/>
  </r>
  <r>
    <x v="1"/>
    <s v="group C"/>
    <x v="4"/>
    <s v="standard"/>
    <x v="0"/>
    <n v="61"/>
    <n v="56"/>
    <n v="55"/>
  </r>
  <r>
    <x v="0"/>
    <s v="group A"/>
    <x v="5"/>
    <s v="free/reduced"/>
    <x v="0"/>
    <n v="47"/>
    <n v="59"/>
    <n v="50"/>
  </r>
  <r>
    <x v="1"/>
    <s v="group C"/>
    <x v="5"/>
    <s v="standard"/>
    <x v="0"/>
    <n v="73"/>
    <n v="66"/>
    <n v="66"/>
  </r>
  <r>
    <x v="1"/>
    <s v="group C"/>
    <x v="1"/>
    <s v="free/reduced"/>
    <x v="1"/>
    <n v="50"/>
    <n v="48"/>
    <n v="53"/>
  </r>
  <r>
    <x v="1"/>
    <s v="group D"/>
    <x v="3"/>
    <s v="standard"/>
    <x v="0"/>
    <n v="75"/>
    <n v="68"/>
    <n v="64"/>
  </r>
  <r>
    <x v="1"/>
    <s v="group D"/>
    <x v="3"/>
    <s v="free/reduced"/>
    <x v="0"/>
    <n v="75"/>
    <n v="66"/>
    <n v="73"/>
  </r>
  <r>
    <x v="1"/>
    <s v="group C"/>
    <x v="4"/>
    <s v="standard"/>
    <x v="0"/>
    <n v="70"/>
    <n v="56"/>
    <n v="51"/>
  </r>
  <r>
    <x v="1"/>
    <s v="group D"/>
    <x v="5"/>
    <s v="standard"/>
    <x v="1"/>
    <n v="89"/>
    <n v="88"/>
    <n v="82"/>
  </r>
  <r>
    <x v="0"/>
    <s v="group C"/>
    <x v="1"/>
    <s v="standard"/>
    <x v="1"/>
    <n v="67"/>
    <n v="81"/>
    <n v="79"/>
  </r>
  <r>
    <x v="0"/>
    <s v="group D"/>
    <x v="4"/>
    <s v="standard"/>
    <x v="0"/>
    <n v="78"/>
    <n v="81"/>
    <n v="80"/>
  </r>
  <r>
    <x v="0"/>
    <s v="group A"/>
    <x v="5"/>
    <s v="free/reduced"/>
    <x v="0"/>
    <n v="59"/>
    <n v="73"/>
    <n v="69"/>
  </r>
  <r>
    <x v="0"/>
    <s v="group B"/>
    <x v="3"/>
    <s v="standard"/>
    <x v="0"/>
    <n v="73"/>
    <n v="83"/>
    <n v="76"/>
  </r>
  <r>
    <x v="1"/>
    <s v="group A"/>
    <x v="5"/>
    <s v="free/reduced"/>
    <x v="0"/>
    <n v="79"/>
    <n v="82"/>
    <n v="73"/>
  </r>
  <r>
    <x v="0"/>
    <s v="group C"/>
    <x v="5"/>
    <s v="standard"/>
    <x v="1"/>
    <n v="67"/>
    <n v="74"/>
    <n v="77"/>
  </r>
  <r>
    <x v="1"/>
    <s v="group D"/>
    <x v="1"/>
    <s v="free/reduced"/>
    <x v="0"/>
    <n v="69"/>
    <n v="66"/>
    <n v="60"/>
  </r>
  <r>
    <x v="1"/>
    <s v="group C"/>
    <x v="4"/>
    <s v="standard"/>
    <x v="1"/>
    <n v="86"/>
    <n v="81"/>
    <n v="80"/>
  </r>
  <r>
    <x v="1"/>
    <s v="group B"/>
    <x v="4"/>
    <s v="standard"/>
    <x v="0"/>
    <n v="47"/>
    <n v="46"/>
    <n v="42"/>
  </r>
  <r>
    <x v="1"/>
    <s v="group B"/>
    <x v="3"/>
    <s v="standard"/>
    <x v="0"/>
    <n v="81"/>
    <n v="73"/>
    <n v="72"/>
  </r>
  <r>
    <x v="0"/>
    <s v="group C"/>
    <x v="1"/>
    <s v="free/reduced"/>
    <x v="1"/>
    <n v="64"/>
    <n v="85"/>
    <n v="85"/>
  </r>
  <r>
    <x v="0"/>
    <s v="group E"/>
    <x v="1"/>
    <s v="standard"/>
    <x v="0"/>
    <n v="100"/>
    <n v="92"/>
    <n v="97"/>
  </r>
  <r>
    <x v="0"/>
    <s v="group C"/>
    <x v="3"/>
    <s v="free/reduced"/>
    <x v="0"/>
    <n v="65"/>
    <n v="77"/>
    <n v="74"/>
  </r>
  <r>
    <x v="1"/>
    <s v="group C"/>
    <x v="1"/>
    <s v="free/reduced"/>
    <x v="0"/>
    <n v="65"/>
    <n v="58"/>
    <n v="49"/>
  </r>
  <r>
    <x v="0"/>
    <s v="group C"/>
    <x v="3"/>
    <s v="free/reduced"/>
    <x v="0"/>
    <n v="53"/>
    <n v="61"/>
    <n v="62"/>
  </r>
  <r>
    <x v="1"/>
    <s v="group C"/>
    <x v="0"/>
    <s v="free/reduced"/>
    <x v="0"/>
    <n v="37"/>
    <n v="56"/>
    <n v="47"/>
  </r>
  <r>
    <x v="0"/>
    <s v="group D"/>
    <x v="0"/>
    <s v="standard"/>
    <x v="0"/>
    <n v="79"/>
    <n v="89"/>
    <n v="89"/>
  </r>
  <r>
    <x v="1"/>
    <s v="group D"/>
    <x v="3"/>
    <s v="free/reduced"/>
    <x v="0"/>
    <n v="53"/>
    <n v="54"/>
    <n v="48"/>
  </r>
  <r>
    <x v="0"/>
    <s v="group E"/>
    <x v="0"/>
    <s v="standard"/>
    <x v="0"/>
    <n v="100"/>
    <n v="100"/>
    <n v="100"/>
  </r>
  <r>
    <x v="1"/>
    <s v="group B"/>
    <x v="4"/>
    <s v="standard"/>
    <x v="1"/>
    <n v="72"/>
    <n v="65"/>
    <n v="68"/>
  </r>
  <r>
    <x v="1"/>
    <s v="group C"/>
    <x v="0"/>
    <s v="free/reduced"/>
    <x v="0"/>
    <n v="53"/>
    <n v="58"/>
    <n v="55"/>
  </r>
  <r>
    <x v="1"/>
    <s v="group B"/>
    <x v="1"/>
    <s v="free/reduced"/>
    <x v="0"/>
    <n v="54"/>
    <n v="54"/>
    <n v="45"/>
  </r>
  <r>
    <x v="0"/>
    <s v="group E"/>
    <x v="1"/>
    <s v="standard"/>
    <x v="0"/>
    <n v="71"/>
    <n v="70"/>
    <n v="76"/>
  </r>
  <r>
    <x v="0"/>
    <s v="group C"/>
    <x v="1"/>
    <s v="free/reduced"/>
    <x v="0"/>
    <n v="77"/>
    <n v="90"/>
    <n v="91"/>
  </r>
  <r>
    <x v="1"/>
    <s v="group A"/>
    <x v="0"/>
    <s v="standard"/>
    <x v="1"/>
    <n v="75"/>
    <n v="58"/>
    <n v="62"/>
  </r>
  <r>
    <x v="0"/>
    <s v="group C"/>
    <x v="1"/>
    <s v="standard"/>
    <x v="0"/>
    <n v="84"/>
    <n v="87"/>
    <n v="91"/>
  </r>
  <r>
    <x v="0"/>
    <s v="group D"/>
    <x v="3"/>
    <s v="free/reduced"/>
    <x v="0"/>
    <n v="26"/>
    <n v="31"/>
    <n v="38"/>
  </r>
  <r>
    <x v="1"/>
    <s v="group A"/>
    <x v="4"/>
    <s v="free/reduced"/>
    <x v="1"/>
    <n v="72"/>
    <n v="67"/>
    <n v="65"/>
  </r>
  <r>
    <x v="0"/>
    <s v="group A"/>
    <x v="4"/>
    <s v="free/reduced"/>
    <x v="1"/>
    <n v="77"/>
    <n v="88"/>
    <n v="85"/>
  </r>
  <r>
    <x v="1"/>
    <s v="group C"/>
    <x v="1"/>
    <s v="standard"/>
    <x v="0"/>
    <n v="91"/>
    <n v="74"/>
    <n v="76"/>
  </r>
  <r>
    <x v="0"/>
    <s v="group C"/>
    <x v="3"/>
    <s v="standard"/>
    <x v="1"/>
    <n v="83"/>
    <n v="85"/>
    <n v="90"/>
  </r>
  <r>
    <x v="0"/>
    <s v="group C"/>
    <x v="4"/>
    <s v="standard"/>
    <x v="0"/>
    <n v="63"/>
    <n v="69"/>
    <n v="74"/>
  </r>
  <r>
    <x v="0"/>
    <s v="group C"/>
    <x v="3"/>
    <s v="standard"/>
    <x v="1"/>
    <n v="68"/>
    <n v="86"/>
    <n v="84"/>
  </r>
  <r>
    <x v="0"/>
    <s v="group D"/>
    <x v="5"/>
    <s v="standard"/>
    <x v="0"/>
    <n v="59"/>
    <n v="67"/>
    <n v="61"/>
  </r>
  <r>
    <x v="0"/>
    <s v="group B"/>
    <x v="3"/>
    <s v="standard"/>
    <x v="1"/>
    <n v="90"/>
    <n v="90"/>
    <n v="91"/>
  </r>
  <r>
    <x v="0"/>
    <s v="group D"/>
    <x v="0"/>
    <s v="standard"/>
    <x v="1"/>
    <n v="71"/>
    <n v="76"/>
    <n v="83"/>
  </r>
  <r>
    <x v="1"/>
    <s v="group E"/>
    <x v="0"/>
    <s v="standard"/>
    <x v="1"/>
    <n v="76"/>
    <n v="62"/>
    <n v="66"/>
  </r>
  <r>
    <x v="1"/>
    <s v="group D"/>
    <x v="3"/>
    <s v="standard"/>
    <x v="0"/>
    <n v="80"/>
    <n v="68"/>
    <n v="72"/>
  </r>
  <r>
    <x v="0"/>
    <s v="group D"/>
    <x v="2"/>
    <s v="standard"/>
    <x v="0"/>
    <n v="55"/>
    <n v="64"/>
    <n v="70"/>
  </r>
  <r>
    <x v="1"/>
    <s v="group E"/>
    <x v="3"/>
    <s v="standard"/>
    <x v="0"/>
    <n v="76"/>
    <n v="71"/>
    <n v="67"/>
  </r>
  <r>
    <x v="1"/>
    <s v="group B"/>
    <x v="4"/>
    <s v="standard"/>
    <x v="1"/>
    <n v="73"/>
    <n v="71"/>
    <n v="68"/>
  </r>
  <r>
    <x v="0"/>
    <s v="group D"/>
    <x v="3"/>
    <s v="free/reduced"/>
    <x v="0"/>
    <n v="52"/>
    <n v="59"/>
    <n v="56"/>
  </r>
  <r>
    <x v="1"/>
    <s v="group C"/>
    <x v="1"/>
    <s v="free/reduced"/>
    <x v="0"/>
    <n v="68"/>
    <n v="68"/>
    <n v="61"/>
  </r>
  <r>
    <x v="1"/>
    <s v="group A"/>
    <x v="4"/>
    <s v="standard"/>
    <x v="0"/>
    <n v="59"/>
    <n v="52"/>
    <n v="46"/>
  </r>
  <r>
    <x v="0"/>
    <s v="group B"/>
    <x v="3"/>
    <s v="standard"/>
    <x v="0"/>
    <n v="49"/>
    <n v="52"/>
    <n v="54"/>
  </r>
  <r>
    <x v="1"/>
    <s v="group C"/>
    <x v="4"/>
    <s v="standard"/>
    <x v="0"/>
    <n v="70"/>
    <n v="74"/>
    <n v="71"/>
  </r>
  <r>
    <x v="1"/>
    <s v="group D"/>
    <x v="1"/>
    <s v="free/reduced"/>
    <x v="0"/>
    <n v="61"/>
    <n v="47"/>
    <n v="56"/>
  </r>
  <r>
    <x v="0"/>
    <s v="group C"/>
    <x v="3"/>
    <s v="free/reduced"/>
    <x v="0"/>
    <n v="60"/>
    <n v="75"/>
    <n v="74"/>
  </r>
  <r>
    <x v="1"/>
    <s v="group B"/>
    <x v="5"/>
    <s v="standard"/>
    <x v="1"/>
    <n v="64"/>
    <n v="53"/>
    <n v="57"/>
  </r>
  <r>
    <x v="1"/>
    <s v="group A"/>
    <x v="3"/>
    <s v="free/reduced"/>
    <x v="1"/>
    <n v="79"/>
    <n v="82"/>
    <n v="82"/>
  </r>
  <r>
    <x v="0"/>
    <s v="group A"/>
    <x v="3"/>
    <s v="free/reduced"/>
    <x v="0"/>
    <n v="65"/>
    <n v="85"/>
    <n v="76"/>
  </r>
  <r>
    <x v="0"/>
    <s v="group C"/>
    <x v="3"/>
    <s v="standard"/>
    <x v="0"/>
    <n v="64"/>
    <n v="64"/>
    <n v="70"/>
  </r>
  <r>
    <x v="0"/>
    <s v="group C"/>
    <x v="1"/>
    <s v="standard"/>
    <x v="0"/>
    <n v="83"/>
    <n v="83"/>
    <n v="90"/>
  </r>
  <r>
    <x v="0"/>
    <s v="group C"/>
    <x v="0"/>
    <s v="standard"/>
    <x v="0"/>
    <n v="81"/>
    <n v="88"/>
    <n v="90"/>
  </r>
  <r>
    <x v="0"/>
    <s v="group B"/>
    <x v="4"/>
    <s v="standard"/>
    <x v="0"/>
    <n v="54"/>
    <n v="64"/>
    <n v="68"/>
  </r>
  <r>
    <x v="1"/>
    <s v="group D"/>
    <x v="4"/>
    <s v="standard"/>
    <x v="1"/>
    <n v="68"/>
    <n v="64"/>
    <n v="66"/>
  </r>
  <r>
    <x v="0"/>
    <s v="group C"/>
    <x v="1"/>
    <s v="standard"/>
    <x v="0"/>
    <n v="54"/>
    <n v="48"/>
    <n v="52"/>
  </r>
  <r>
    <x v="0"/>
    <s v="group D"/>
    <x v="1"/>
    <s v="free/reduced"/>
    <x v="1"/>
    <n v="59"/>
    <n v="78"/>
    <n v="76"/>
  </r>
  <r>
    <x v="0"/>
    <s v="group B"/>
    <x v="5"/>
    <s v="standard"/>
    <x v="0"/>
    <n v="66"/>
    <n v="69"/>
    <n v="68"/>
  </r>
  <r>
    <x v="1"/>
    <s v="group E"/>
    <x v="1"/>
    <s v="standard"/>
    <x v="0"/>
    <n v="76"/>
    <n v="71"/>
    <n v="72"/>
  </r>
  <r>
    <x v="0"/>
    <s v="group D"/>
    <x v="2"/>
    <s v="standard"/>
    <x v="0"/>
    <n v="74"/>
    <n v="79"/>
    <n v="82"/>
  </r>
  <r>
    <x v="0"/>
    <s v="group B"/>
    <x v="3"/>
    <s v="standard"/>
    <x v="1"/>
    <n v="94"/>
    <n v="87"/>
    <n v="92"/>
  </r>
  <r>
    <x v="1"/>
    <s v="group C"/>
    <x v="1"/>
    <s v="free/reduced"/>
    <x v="0"/>
    <n v="63"/>
    <n v="61"/>
    <n v="54"/>
  </r>
  <r>
    <x v="0"/>
    <s v="group E"/>
    <x v="3"/>
    <s v="standard"/>
    <x v="1"/>
    <n v="95"/>
    <n v="89"/>
    <n v="92"/>
  </r>
  <r>
    <x v="0"/>
    <s v="group D"/>
    <x v="2"/>
    <s v="free/reduced"/>
    <x v="0"/>
    <n v="40"/>
    <n v="59"/>
    <n v="54"/>
  </r>
  <r>
    <x v="0"/>
    <s v="group B"/>
    <x v="5"/>
    <s v="standard"/>
    <x v="0"/>
    <n v="82"/>
    <n v="82"/>
    <n v="80"/>
  </r>
  <r>
    <x v="1"/>
    <s v="group A"/>
    <x v="4"/>
    <s v="standard"/>
    <x v="0"/>
    <n v="68"/>
    <n v="70"/>
    <n v="66"/>
  </r>
  <r>
    <x v="1"/>
    <s v="group B"/>
    <x v="0"/>
    <s v="free/reduced"/>
    <x v="0"/>
    <n v="55"/>
    <n v="59"/>
    <n v="54"/>
  </r>
  <r>
    <x v="1"/>
    <s v="group C"/>
    <x v="2"/>
    <s v="standard"/>
    <x v="0"/>
    <n v="79"/>
    <n v="78"/>
    <n v="77"/>
  </r>
  <r>
    <x v="0"/>
    <s v="group C"/>
    <x v="0"/>
    <s v="standard"/>
    <x v="0"/>
    <n v="86"/>
    <n v="92"/>
    <n v="87"/>
  </r>
  <r>
    <x v="1"/>
    <s v="group D"/>
    <x v="1"/>
    <s v="standard"/>
    <x v="0"/>
    <n v="76"/>
    <n v="71"/>
    <n v="73"/>
  </r>
  <r>
    <x v="1"/>
    <s v="group A"/>
    <x v="5"/>
    <s v="standard"/>
    <x v="0"/>
    <n v="64"/>
    <n v="50"/>
    <n v="43"/>
  </r>
  <r>
    <x v="1"/>
    <s v="group D"/>
    <x v="5"/>
    <s v="free/reduced"/>
    <x v="0"/>
    <n v="62"/>
    <n v="49"/>
    <n v="52"/>
  </r>
  <r>
    <x v="0"/>
    <s v="group B"/>
    <x v="5"/>
    <s v="standard"/>
    <x v="1"/>
    <n v="54"/>
    <n v="61"/>
    <n v="62"/>
  </r>
  <r>
    <x v="0"/>
    <s v="group B"/>
    <x v="2"/>
    <s v="free/reduced"/>
    <x v="1"/>
    <n v="77"/>
    <n v="97"/>
    <n v="94"/>
  </r>
  <r>
    <x v="0"/>
    <s v="group C"/>
    <x v="5"/>
    <s v="standard"/>
    <x v="1"/>
    <n v="76"/>
    <n v="87"/>
    <n v="85"/>
  </r>
  <r>
    <x v="0"/>
    <s v="group D"/>
    <x v="1"/>
    <s v="standard"/>
    <x v="0"/>
    <n v="74"/>
    <n v="89"/>
    <n v="84"/>
  </r>
  <r>
    <x v="0"/>
    <s v="group E"/>
    <x v="1"/>
    <s v="standard"/>
    <x v="1"/>
    <n v="66"/>
    <n v="74"/>
    <n v="73"/>
  </r>
  <r>
    <x v="0"/>
    <s v="group D"/>
    <x v="5"/>
    <s v="standard"/>
    <x v="1"/>
    <n v="66"/>
    <n v="78"/>
    <n v="78"/>
  </r>
  <r>
    <x v="0"/>
    <s v="group B"/>
    <x v="4"/>
    <s v="free/reduced"/>
    <x v="1"/>
    <n v="67"/>
    <n v="78"/>
    <n v="79"/>
  </r>
  <r>
    <x v="1"/>
    <s v="group D"/>
    <x v="1"/>
    <s v="standard"/>
    <x v="0"/>
    <n v="71"/>
    <n v="49"/>
    <n v="52"/>
  </r>
  <r>
    <x v="0"/>
    <s v="group C"/>
    <x v="3"/>
    <s v="standard"/>
    <x v="0"/>
    <n v="91"/>
    <n v="86"/>
    <n v="84"/>
  </r>
  <r>
    <x v="1"/>
    <s v="group D"/>
    <x v="0"/>
    <s v="standard"/>
    <x v="0"/>
    <n v="69"/>
    <n v="58"/>
    <n v="57"/>
  </r>
  <r>
    <x v="1"/>
    <s v="group C"/>
    <x v="2"/>
    <s v="free/reduced"/>
    <x v="0"/>
    <n v="54"/>
    <n v="59"/>
    <n v="50"/>
  </r>
  <r>
    <x v="1"/>
    <s v="group C"/>
    <x v="4"/>
    <s v="standard"/>
    <x v="1"/>
    <n v="53"/>
    <n v="52"/>
    <n v="49"/>
  </r>
  <r>
    <x v="1"/>
    <s v="group E"/>
    <x v="1"/>
    <s v="standard"/>
    <x v="0"/>
    <n v="68"/>
    <n v="60"/>
    <n v="59"/>
  </r>
  <r>
    <x v="1"/>
    <s v="group C"/>
    <x v="5"/>
    <s v="free/reduced"/>
    <x v="1"/>
    <n v="56"/>
    <n v="61"/>
    <n v="60"/>
  </r>
  <r>
    <x v="0"/>
    <s v="group C"/>
    <x v="4"/>
    <s v="free/reduced"/>
    <x v="0"/>
    <n v="36"/>
    <n v="53"/>
    <n v="43"/>
  </r>
  <r>
    <x v="0"/>
    <s v="group D"/>
    <x v="0"/>
    <s v="free/reduced"/>
    <x v="0"/>
    <n v="29"/>
    <n v="41"/>
    <n v="47"/>
  </r>
  <r>
    <x v="0"/>
    <s v="group C"/>
    <x v="3"/>
    <s v="standard"/>
    <x v="0"/>
    <n v="62"/>
    <n v="74"/>
    <n v="70"/>
  </r>
  <r>
    <x v="0"/>
    <s v="group C"/>
    <x v="3"/>
    <s v="standard"/>
    <x v="1"/>
    <n v="68"/>
    <n v="67"/>
    <n v="73"/>
  </r>
  <r>
    <x v="0"/>
    <s v="group C"/>
    <x v="5"/>
    <s v="standard"/>
    <x v="0"/>
    <n v="47"/>
    <n v="54"/>
    <n v="53"/>
  </r>
  <r>
    <x v="1"/>
    <s v="group E"/>
    <x v="3"/>
    <s v="standard"/>
    <x v="1"/>
    <n v="62"/>
    <n v="61"/>
    <n v="58"/>
  </r>
  <r>
    <x v="0"/>
    <s v="group E"/>
    <x v="3"/>
    <s v="standard"/>
    <x v="1"/>
    <n v="79"/>
    <n v="88"/>
    <n v="94"/>
  </r>
  <r>
    <x v="1"/>
    <s v="group B"/>
    <x v="4"/>
    <s v="standard"/>
    <x v="1"/>
    <n v="73"/>
    <n v="69"/>
    <n v="68"/>
  </r>
  <r>
    <x v="0"/>
    <s v="group C"/>
    <x v="0"/>
    <s v="free/reduced"/>
    <x v="1"/>
    <n v="66"/>
    <n v="83"/>
    <n v="83"/>
  </r>
  <r>
    <x v="1"/>
    <s v="group C"/>
    <x v="3"/>
    <s v="standard"/>
    <x v="1"/>
    <n v="51"/>
    <n v="60"/>
    <n v="58"/>
  </r>
  <r>
    <x v="0"/>
    <s v="group D"/>
    <x v="4"/>
    <s v="standard"/>
    <x v="0"/>
    <n v="51"/>
    <n v="66"/>
    <n v="62"/>
  </r>
  <r>
    <x v="1"/>
    <s v="group E"/>
    <x v="0"/>
    <s v="standard"/>
    <x v="1"/>
    <n v="85"/>
    <n v="66"/>
    <n v="71"/>
  </r>
  <r>
    <x v="1"/>
    <s v="group A"/>
    <x v="3"/>
    <s v="standard"/>
    <x v="1"/>
    <n v="97"/>
    <n v="92"/>
    <n v="86"/>
  </r>
  <r>
    <x v="1"/>
    <s v="group C"/>
    <x v="4"/>
    <s v="standard"/>
    <x v="1"/>
    <n v="75"/>
    <n v="69"/>
    <n v="68"/>
  </r>
  <r>
    <x v="1"/>
    <s v="group D"/>
    <x v="3"/>
    <s v="free/reduced"/>
    <x v="1"/>
    <n v="79"/>
    <n v="82"/>
    <n v="80"/>
  </r>
  <r>
    <x v="0"/>
    <s v="group C"/>
    <x v="3"/>
    <s v="standard"/>
    <x v="0"/>
    <n v="81"/>
    <n v="77"/>
    <n v="79"/>
  </r>
  <r>
    <x v="0"/>
    <s v="group D"/>
    <x v="3"/>
    <s v="standard"/>
    <x v="0"/>
    <n v="82"/>
    <n v="95"/>
    <n v="89"/>
  </r>
  <r>
    <x v="0"/>
    <s v="group D"/>
    <x v="2"/>
    <s v="standard"/>
    <x v="0"/>
    <n v="64"/>
    <n v="63"/>
    <n v="66"/>
  </r>
  <r>
    <x v="1"/>
    <s v="group E"/>
    <x v="5"/>
    <s v="free/reduced"/>
    <x v="1"/>
    <n v="78"/>
    <n v="83"/>
    <n v="80"/>
  </r>
  <r>
    <x v="0"/>
    <s v="group A"/>
    <x v="5"/>
    <s v="standard"/>
    <x v="1"/>
    <n v="92"/>
    <n v="100"/>
    <n v="97"/>
  </r>
  <r>
    <x v="1"/>
    <s v="group C"/>
    <x v="4"/>
    <s v="standard"/>
    <x v="1"/>
    <n v="72"/>
    <n v="67"/>
    <n v="64"/>
  </r>
  <r>
    <x v="0"/>
    <s v="group C"/>
    <x v="4"/>
    <s v="free/reduced"/>
    <x v="0"/>
    <n v="62"/>
    <n v="67"/>
    <n v="64"/>
  </r>
  <r>
    <x v="1"/>
    <s v="group C"/>
    <x v="2"/>
    <s v="standard"/>
    <x v="0"/>
    <n v="79"/>
    <n v="72"/>
    <n v="69"/>
  </r>
  <r>
    <x v="1"/>
    <s v="group C"/>
    <x v="5"/>
    <s v="free/reduced"/>
    <x v="0"/>
    <n v="79"/>
    <n v="76"/>
    <n v="65"/>
  </r>
  <r>
    <x v="1"/>
    <s v="group B"/>
    <x v="0"/>
    <s v="free/reduced"/>
    <x v="1"/>
    <n v="87"/>
    <n v="90"/>
    <n v="88"/>
  </r>
  <r>
    <x v="0"/>
    <s v="group B"/>
    <x v="3"/>
    <s v="standard"/>
    <x v="0"/>
    <n v="40"/>
    <n v="48"/>
    <n v="50"/>
  </r>
  <r>
    <x v="1"/>
    <s v="group D"/>
    <x v="1"/>
    <s v="free/reduced"/>
    <x v="0"/>
    <n v="77"/>
    <n v="62"/>
    <n v="64"/>
  </r>
  <r>
    <x v="1"/>
    <s v="group E"/>
    <x v="3"/>
    <s v="standard"/>
    <x v="0"/>
    <n v="53"/>
    <n v="45"/>
    <n v="40"/>
  </r>
  <r>
    <x v="0"/>
    <s v="group C"/>
    <x v="1"/>
    <s v="free/reduced"/>
    <x v="0"/>
    <n v="32"/>
    <n v="39"/>
    <n v="33"/>
  </r>
  <r>
    <x v="0"/>
    <s v="group C"/>
    <x v="3"/>
    <s v="standard"/>
    <x v="1"/>
    <n v="55"/>
    <n v="72"/>
    <n v="79"/>
  </r>
  <r>
    <x v="1"/>
    <s v="group C"/>
    <x v="2"/>
    <s v="free/reduced"/>
    <x v="0"/>
    <n v="61"/>
    <n v="67"/>
    <n v="66"/>
  </r>
  <r>
    <x v="0"/>
    <s v="group B"/>
    <x v="3"/>
    <s v="free/reduced"/>
    <x v="0"/>
    <n v="53"/>
    <n v="70"/>
    <n v="70"/>
  </r>
  <r>
    <x v="1"/>
    <s v="group D"/>
    <x v="5"/>
    <s v="standard"/>
    <x v="0"/>
    <n v="73"/>
    <n v="66"/>
    <n v="62"/>
  </r>
  <r>
    <x v="0"/>
    <s v="group D"/>
    <x v="1"/>
    <s v="standard"/>
    <x v="1"/>
    <n v="74"/>
    <n v="75"/>
    <n v="79"/>
  </r>
  <r>
    <x v="0"/>
    <s v="group C"/>
    <x v="1"/>
    <s v="standard"/>
    <x v="0"/>
    <n v="63"/>
    <n v="74"/>
    <n v="74"/>
  </r>
  <r>
    <x v="1"/>
    <s v="group C"/>
    <x v="0"/>
    <s v="standard"/>
    <x v="1"/>
    <n v="96"/>
    <n v="90"/>
    <n v="92"/>
  </r>
  <r>
    <x v="0"/>
    <s v="group D"/>
    <x v="1"/>
    <s v="free/reduced"/>
    <x v="1"/>
    <n v="63"/>
    <n v="80"/>
    <n v="80"/>
  </r>
  <r>
    <x v="1"/>
    <s v="group B"/>
    <x v="0"/>
    <s v="free/reduced"/>
    <x v="0"/>
    <n v="48"/>
    <n v="51"/>
    <n v="46"/>
  </r>
  <r>
    <x v="1"/>
    <s v="group B"/>
    <x v="3"/>
    <s v="standard"/>
    <x v="0"/>
    <n v="48"/>
    <n v="43"/>
    <n v="45"/>
  </r>
  <r>
    <x v="0"/>
    <s v="group E"/>
    <x v="0"/>
    <s v="free/reduced"/>
    <x v="1"/>
    <n v="92"/>
    <n v="100"/>
    <n v="100"/>
  </r>
  <r>
    <x v="0"/>
    <s v="group D"/>
    <x v="2"/>
    <s v="free/reduced"/>
    <x v="1"/>
    <n v="61"/>
    <n v="71"/>
    <n v="78"/>
  </r>
  <r>
    <x v="1"/>
    <s v="group B"/>
    <x v="4"/>
    <s v="free/reduced"/>
    <x v="0"/>
    <n v="63"/>
    <n v="48"/>
    <n v="47"/>
  </r>
  <r>
    <x v="1"/>
    <s v="group D"/>
    <x v="0"/>
    <s v="free/reduced"/>
    <x v="0"/>
    <n v="68"/>
    <n v="68"/>
    <n v="67"/>
  </r>
  <r>
    <x v="1"/>
    <s v="group B"/>
    <x v="1"/>
    <s v="standard"/>
    <x v="1"/>
    <n v="71"/>
    <n v="75"/>
    <n v="70"/>
  </r>
  <r>
    <x v="1"/>
    <s v="group A"/>
    <x v="0"/>
    <s v="standard"/>
    <x v="0"/>
    <n v="91"/>
    <n v="96"/>
    <n v="92"/>
  </r>
  <r>
    <x v="0"/>
    <s v="group C"/>
    <x v="1"/>
    <s v="standard"/>
    <x v="0"/>
    <n v="53"/>
    <n v="62"/>
    <n v="56"/>
  </r>
  <r>
    <x v="0"/>
    <s v="group C"/>
    <x v="4"/>
    <s v="free/reduced"/>
    <x v="1"/>
    <n v="50"/>
    <n v="66"/>
    <n v="64"/>
  </r>
  <r>
    <x v="0"/>
    <s v="group E"/>
    <x v="4"/>
    <s v="standard"/>
    <x v="0"/>
    <n v="74"/>
    <n v="81"/>
    <n v="71"/>
  </r>
  <r>
    <x v="1"/>
    <s v="group A"/>
    <x v="3"/>
    <s v="free/reduced"/>
    <x v="1"/>
    <n v="40"/>
    <n v="55"/>
    <n v="53"/>
  </r>
  <r>
    <x v="1"/>
    <s v="group A"/>
    <x v="1"/>
    <s v="standard"/>
    <x v="1"/>
    <n v="61"/>
    <n v="51"/>
    <n v="52"/>
  </r>
  <r>
    <x v="0"/>
    <s v="group B"/>
    <x v="4"/>
    <s v="standard"/>
    <x v="0"/>
    <n v="81"/>
    <n v="91"/>
    <n v="89"/>
  </r>
  <r>
    <x v="0"/>
    <s v="group B"/>
    <x v="1"/>
    <s v="free/reduced"/>
    <x v="1"/>
    <n v="48"/>
    <n v="56"/>
    <n v="58"/>
  </r>
  <r>
    <x v="0"/>
    <s v="group D"/>
    <x v="2"/>
    <s v="standard"/>
    <x v="0"/>
    <n v="53"/>
    <n v="61"/>
    <n v="68"/>
  </r>
  <r>
    <x v="0"/>
    <s v="group D"/>
    <x v="5"/>
    <s v="standard"/>
    <x v="0"/>
    <n v="81"/>
    <n v="97"/>
    <n v="96"/>
  </r>
  <r>
    <x v="0"/>
    <s v="group E"/>
    <x v="5"/>
    <s v="standard"/>
    <x v="0"/>
    <n v="77"/>
    <n v="79"/>
    <n v="80"/>
  </r>
  <r>
    <x v="0"/>
    <s v="group D"/>
    <x v="0"/>
    <s v="free/reduced"/>
    <x v="0"/>
    <n v="63"/>
    <n v="73"/>
    <n v="78"/>
  </r>
  <r>
    <x v="0"/>
    <s v="group D"/>
    <x v="3"/>
    <s v="standard"/>
    <x v="1"/>
    <n v="73"/>
    <n v="75"/>
    <n v="80"/>
  </r>
  <r>
    <x v="0"/>
    <s v="group D"/>
    <x v="1"/>
    <s v="standard"/>
    <x v="0"/>
    <n v="69"/>
    <n v="77"/>
    <n v="77"/>
  </r>
  <r>
    <x v="0"/>
    <s v="group C"/>
    <x v="3"/>
    <s v="standard"/>
    <x v="0"/>
    <n v="65"/>
    <n v="76"/>
    <n v="76"/>
  </r>
  <r>
    <x v="0"/>
    <s v="group A"/>
    <x v="4"/>
    <s v="standard"/>
    <x v="0"/>
    <n v="55"/>
    <n v="73"/>
    <n v="73"/>
  </r>
  <r>
    <x v="0"/>
    <s v="group C"/>
    <x v="0"/>
    <s v="free/reduced"/>
    <x v="0"/>
    <n v="44"/>
    <n v="63"/>
    <n v="62"/>
  </r>
  <r>
    <x v="0"/>
    <s v="group C"/>
    <x v="1"/>
    <s v="standard"/>
    <x v="0"/>
    <n v="54"/>
    <n v="64"/>
    <n v="65"/>
  </r>
  <r>
    <x v="0"/>
    <s v="group A"/>
    <x v="5"/>
    <s v="standard"/>
    <x v="0"/>
    <n v="48"/>
    <n v="66"/>
    <n v="65"/>
  </r>
  <r>
    <x v="1"/>
    <s v="group C"/>
    <x v="1"/>
    <s v="free/reduced"/>
    <x v="0"/>
    <n v="58"/>
    <n v="57"/>
    <n v="54"/>
  </r>
  <r>
    <x v="1"/>
    <s v="group A"/>
    <x v="5"/>
    <s v="standard"/>
    <x v="0"/>
    <n v="71"/>
    <n v="62"/>
    <n v="50"/>
  </r>
  <r>
    <x v="1"/>
    <s v="group E"/>
    <x v="0"/>
    <s v="standard"/>
    <x v="0"/>
    <n v="68"/>
    <n v="68"/>
    <n v="64"/>
  </r>
  <r>
    <x v="0"/>
    <s v="group E"/>
    <x v="4"/>
    <s v="standard"/>
    <x v="0"/>
    <n v="74"/>
    <n v="76"/>
    <n v="73"/>
  </r>
  <r>
    <x v="0"/>
    <s v="group C"/>
    <x v="0"/>
    <s v="standard"/>
    <x v="1"/>
    <n v="92"/>
    <n v="100"/>
    <n v="99"/>
  </r>
  <r>
    <x v="0"/>
    <s v="group C"/>
    <x v="0"/>
    <s v="standard"/>
    <x v="1"/>
    <n v="56"/>
    <n v="79"/>
    <n v="72"/>
  </r>
  <r>
    <x v="1"/>
    <s v="group B"/>
    <x v="4"/>
    <s v="free/reduced"/>
    <x v="0"/>
    <n v="30"/>
    <n v="24"/>
    <n v="15"/>
  </r>
  <r>
    <x v="1"/>
    <s v="group A"/>
    <x v="5"/>
    <s v="standard"/>
    <x v="0"/>
    <n v="53"/>
    <n v="54"/>
    <n v="48"/>
  </r>
  <r>
    <x v="0"/>
    <s v="group D"/>
    <x v="4"/>
    <s v="standard"/>
    <x v="0"/>
    <n v="69"/>
    <n v="77"/>
    <n v="73"/>
  </r>
  <r>
    <x v="0"/>
    <s v="group D"/>
    <x v="5"/>
    <s v="standard"/>
    <x v="0"/>
    <n v="65"/>
    <n v="82"/>
    <n v="81"/>
  </r>
  <r>
    <x v="0"/>
    <s v="group D"/>
    <x v="2"/>
    <s v="standard"/>
    <x v="0"/>
    <n v="54"/>
    <n v="60"/>
    <n v="63"/>
  </r>
  <r>
    <x v="0"/>
    <s v="group C"/>
    <x v="4"/>
    <s v="standard"/>
    <x v="0"/>
    <n v="29"/>
    <n v="29"/>
    <n v="30"/>
  </r>
  <r>
    <x v="0"/>
    <s v="group E"/>
    <x v="1"/>
    <s v="standard"/>
    <x v="0"/>
    <n v="76"/>
    <n v="78"/>
    <n v="80"/>
  </r>
  <r>
    <x v="1"/>
    <s v="group D"/>
    <x v="4"/>
    <s v="free/reduced"/>
    <x v="0"/>
    <n v="60"/>
    <n v="57"/>
    <n v="51"/>
  </r>
  <r>
    <x v="1"/>
    <s v="group D"/>
    <x v="2"/>
    <s v="free/reduced"/>
    <x v="1"/>
    <n v="84"/>
    <n v="89"/>
    <n v="90"/>
  </r>
  <r>
    <x v="1"/>
    <s v="group C"/>
    <x v="5"/>
    <s v="standard"/>
    <x v="0"/>
    <n v="75"/>
    <n v="72"/>
    <n v="62"/>
  </r>
  <r>
    <x v="0"/>
    <s v="group C"/>
    <x v="3"/>
    <s v="standard"/>
    <x v="0"/>
    <n v="85"/>
    <n v="84"/>
    <n v="82"/>
  </r>
  <r>
    <x v="0"/>
    <s v="group C"/>
    <x v="2"/>
    <s v="free/reduced"/>
    <x v="0"/>
    <n v="40"/>
    <n v="58"/>
    <n v="54"/>
  </r>
  <r>
    <x v="0"/>
    <s v="group E"/>
    <x v="1"/>
    <s v="standard"/>
    <x v="0"/>
    <n v="61"/>
    <n v="64"/>
    <n v="62"/>
  </r>
  <r>
    <x v="0"/>
    <s v="group B"/>
    <x v="3"/>
    <s v="standard"/>
    <x v="0"/>
    <n v="58"/>
    <n v="63"/>
    <n v="65"/>
  </r>
  <r>
    <x v="1"/>
    <s v="group D"/>
    <x v="1"/>
    <s v="free/reduced"/>
    <x v="1"/>
    <n v="69"/>
    <n v="60"/>
    <n v="63"/>
  </r>
  <r>
    <x v="0"/>
    <s v="group C"/>
    <x v="1"/>
    <s v="standard"/>
    <x v="0"/>
    <n v="58"/>
    <n v="59"/>
    <n v="66"/>
  </r>
  <r>
    <x v="1"/>
    <s v="group C"/>
    <x v="0"/>
    <s v="standard"/>
    <x v="1"/>
    <n v="94"/>
    <n v="90"/>
    <n v="91"/>
  </r>
  <r>
    <x v="0"/>
    <s v="group C"/>
    <x v="3"/>
    <s v="standard"/>
    <x v="0"/>
    <n v="65"/>
    <n v="77"/>
    <n v="74"/>
  </r>
  <r>
    <x v="0"/>
    <s v="group A"/>
    <x v="3"/>
    <s v="standard"/>
    <x v="0"/>
    <n v="82"/>
    <n v="93"/>
    <n v="93"/>
  </r>
  <r>
    <x v="0"/>
    <s v="group C"/>
    <x v="4"/>
    <s v="standard"/>
    <x v="0"/>
    <n v="60"/>
    <n v="68"/>
    <n v="72"/>
  </r>
  <r>
    <x v="0"/>
    <s v="group E"/>
    <x v="0"/>
    <s v="standard"/>
    <x v="0"/>
    <n v="37"/>
    <n v="45"/>
    <n v="38"/>
  </r>
  <r>
    <x v="1"/>
    <s v="group D"/>
    <x v="0"/>
    <s v="standard"/>
    <x v="0"/>
    <n v="88"/>
    <n v="78"/>
    <n v="83"/>
  </r>
  <r>
    <x v="1"/>
    <s v="group D"/>
    <x v="2"/>
    <s v="standard"/>
    <x v="0"/>
    <n v="95"/>
    <n v="81"/>
    <n v="84"/>
  </r>
  <r>
    <x v="1"/>
    <s v="group C"/>
    <x v="3"/>
    <s v="free/reduced"/>
    <x v="1"/>
    <n v="65"/>
    <n v="73"/>
    <n v="68"/>
  </r>
  <r>
    <x v="0"/>
    <s v="group C"/>
    <x v="4"/>
    <s v="free/reduced"/>
    <x v="0"/>
    <n v="35"/>
    <n v="61"/>
    <n v="54"/>
  </r>
  <r>
    <x v="1"/>
    <s v="group B"/>
    <x v="0"/>
    <s v="free/reduced"/>
    <x v="0"/>
    <n v="62"/>
    <n v="63"/>
    <n v="56"/>
  </r>
  <r>
    <x v="1"/>
    <s v="group C"/>
    <x v="4"/>
    <s v="free/reduced"/>
    <x v="1"/>
    <n v="58"/>
    <n v="51"/>
    <n v="52"/>
  </r>
  <r>
    <x v="1"/>
    <s v="group A"/>
    <x v="1"/>
    <s v="standard"/>
    <x v="1"/>
    <n v="100"/>
    <n v="96"/>
    <n v="86"/>
  </r>
  <r>
    <x v="0"/>
    <s v="group E"/>
    <x v="0"/>
    <s v="free/reduced"/>
    <x v="0"/>
    <n v="61"/>
    <n v="58"/>
    <n v="62"/>
  </r>
  <r>
    <x v="1"/>
    <s v="group D"/>
    <x v="1"/>
    <s v="standard"/>
    <x v="1"/>
    <n v="100"/>
    <n v="97"/>
    <n v="99"/>
  </r>
  <r>
    <x v="1"/>
    <s v="group B"/>
    <x v="3"/>
    <s v="free/reduced"/>
    <x v="1"/>
    <n v="69"/>
    <n v="70"/>
    <n v="63"/>
  </r>
  <r>
    <x v="1"/>
    <s v="group D"/>
    <x v="3"/>
    <s v="standard"/>
    <x v="0"/>
    <n v="61"/>
    <n v="48"/>
    <n v="46"/>
  </r>
  <r>
    <x v="1"/>
    <s v="group D"/>
    <x v="1"/>
    <s v="free/reduced"/>
    <x v="0"/>
    <n v="49"/>
    <n v="57"/>
    <n v="46"/>
  </r>
  <r>
    <x v="0"/>
    <s v="group C"/>
    <x v="5"/>
    <s v="standard"/>
    <x v="1"/>
    <n v="44"/>
    <n v="51"/>
    <n v="55"/>
  </r>
  <r>
    <x v="1"/>
    <s v="group D"/>
    <x v="1"/>
    <s v="standard"/>
    <x v="0"/>
    <n v="67"/>
    <n v="64"/>
    <n v="70"/>
  </r>
  <r>
    <x v="1"/>
    <s v="group B"/>
    <x v="4"/>
    <s v="standard"/>
    <x v="0"/>
    <n v="79"/>
    <n v="60"/>
    <n v="65"/>
  </r>
  <r>
    <x v="0"/>
    <s v="group B"/>
    <x v="0"/>
    <s v="standard"/>
    <x v="1"/>
    <n v="66"/>
    <n v="74"/>
    <n v="81"/>
  </r>
  <r>
    <x v="0"/>
    <s v="group C"/>
    <x v="4"/>
    <s v="standard"/>
    <x v="0"/>
    <n v="75"/>
    <n v="88"/>
    <n v="85"/>
  </r>
  <r>
    <x v="1"/>
    <s v="group D"/>
    <x v="5"/>
    <s v="standard"/>
    <x v="0"/>
    <n v="84"/>
    <n v="84"/>
    <n v="80"/>
  </r>
  <r>
    <x v="1"/>
    <s v="group A"/>
    <x v="4"/>
    <s v="standard"/>
    <x v="0"/>
    <n v="71"/>
    <n v="74"/>
    <n v="64"/>
  </r>
  <r>
    <x v="0"/>
    <s v="group B"/>
    <x v="4"/>
    <s v="free/reduced"/>
    <x v="1"/>
    <n v="67"/>
    <n v="80"/>
    <n v="81"/>
  </r>
  <r>
    <x v="0"/>
    <s v="group D"/>
    <x v="5"/>
    <s v="standard"/>
    <x v="1"/>
    <n v="80"/>
    <n v="92"/>
    <n v="88"/>
  </r>
  <r>
    <x v="1"/>
    <s v="group E"/>
    <x v="1"/>
    <s v="standard"/>
    <x v="0"/>
    <n v="86"/>
    <n v="76"/>
    <n v="74"/>
  </r>
  <r>
    <x v="0"/>
    <s v="group D"/>
    <x v="3"/>
    <s v="standard"/>
    <x v="0"/>
    <n v="76"/>
    <n v="74"/>
    <n v="73"/>
  </r>
  <r>
    <x v="1"/>
    <s v="group D"/>
    <x v="4"/>
    <s v="standard"/>
    <x v="0"/>
    <n v="41"/>
    <n v="52"/>
    <n v="51"/>
  </r>
  <r>
    <x v="0"/>
    <s v="group D"/>
    <x v="3"/>
    <s v="free/reduced"/>
    <x v="1"/>
    <n v="74"/>
    <n v="88"/>
    <n v="90"/>
  </r>
  <r>
    <x v="0"/>
    <s v="group B"/>
    <x v="5"/>
    <s v="free/reduced"/>
    <x v="0"/>
    <n v="72"/>
    <n v="81"/>
    <n v="79"/>
  </r>
  <r>
    <x v="0"/>
    <s v="group E"/>
    <x v="4"/>
    <s v="standard"/>
    <x v="1"/>
    <n v="74"/>
    <n v="79"/>
    <n v="80"/>
  </r>
  <r>
    <x v="1"/>
    <s v="group B"/>
    <x v="4"/>
    <s v="standard"/>
    <x v="0"/>
    <n v="70"/>
    <n v="65"/>
    <n v="60"/>
  </r>
  <r>
    <x v="0"/>
    <s v="group B"/>
    <x v="0"/>
    <s v="standard"/>
    <x v="1"/>
    <n v="65"/>
    <n v="81"/>
    <n v="81"/>
  </r>
  <r>
    <x v="0"/>
    <s v="group D"/>
    <x v="3"/>
    <s v="standard"/>
    <x v="0"/>
    <n v="59"/>
    <n v="70"/>
    <n v="65"/>
  </r>
  <r>
    <x v="0"/>
    <s v="group E"/>
    <x v="4"/>
    <s v="free/reduced"/>
    <x v="0"/>
    <n v="64"/>
    <n v="62"/>
    <n v="68"/>
  </r>
  <r>
    <x v="0"/>
    <s v="group B"/>
    <x v="4"/>
    <s v="standard"/>
    <x v="0"/>
    <n v="50"/>
    <n v="53"/>
    <n v="55"/>
  </r>
  <r>
    <x v="0"/>
    <s v="group D"/>
    <x v="1"/>
    <s v="standard"/>
    <x v="1"/>
    <n v="69"/>
    <n v="79"/>
    <n v="81"/>
  </r>
  <r>
    <x v="1"/>
    <s v="group C"/>
    <x v="5"/>
    <s v="free/reduced"/>
    <x v="1"/>
    <n v="51"/>
    <n v="56"/>
    <n v="53"/>
  </r>
  <r>
    <x v="0"/>
    <s v="group A"/>
    <x v="4"/>
    <s v="standard"/>
    <x v="1"/>
    <n v="68"/>
    <n v="80"/>
    <n v="76"/>
  </r>
  <r>
    <x v="0"/>
    <s v="group D"/>
    <x v="1"/>
    <s v="standard"/>
    <x v="1"/>
    <n v="85"/>
    <n v="86"/>
    <n v="98"/>
  </r>
  <r>
    <x v="0"/>
    <s v="group A"/>
    <x v="3"/>
    <s v="standard"/>
    <x v="1"/>
    <n v="65"/>
    <n v="70"/>
    <n v="74"/>
  </r>
  <r>
    <x v="0"/>
    <s v="group B"/>
    <x v="5"/>
    <s v="standard"/>
    <x v="0"/>
    <n v="73"/>
    <n v="79"/>
    <n v="79"/>
  </r>
  <r>
    <x v="0"/>
    <s v="group B"/>
    <x v="1"/>
    <s v="standard"/>
    <x v="0"/>
    <n v="62"/>
    <n v="67"/>
    <n v="67"/>
  </r>
  <r>
    <x v="1"/>
    <s v="group C"/>
    <x v="3"/>
    <s v="free/reduced"/>
    <x v="0"/>
    <n v="77"/>
    <n v="67"/>
    <n v="64"/>
  </r>
  <r>
    <x v="1"/>
    <s v="group D"/>
    <x v="5"/>
    <s v="standard"/>
    <x v="0"/>
    <n v="69"/>
    <n v="66"/>
    <n v="61"/>
  </r>
  <r>
    <x v="0"/>
    <s v="group D"/>
    <x v="3"/>
    <s v="free/reduced"/>
    <x v="0"/>
    <n v="43"/>
    <n v="60"/>
    <n v="58"/>
  </r>
  <r>
    <x v="1"/>
    <s v="group D"/>
    <x v="3"/>
    <s v="standard"/>
    <x v="0"/>
    <n v="90"/>
    <n v="87"/>
    <n v="85"/>
  </r>
  <r>
    <x v="1"/>
    <s v="group C"/>
    <x v="1"/>
    <s v="free/reduced"/>
    <x v="0"/>
    <n v="74"/>
    <n v="77"/>
    <n v="73"/>
  </r>
  <r>
    <x v="1"/>
    <s v="group C"/>
    <x v="5"/>
    <s v="standard"/>
    <x v="0"/>
    <n v="73"/>
    <n v="66"/>
    <n v="63"/>
  </r>
  <r>
    <x v="0"/>
    <s v="group D"/>
    <x v="1"/>
    <s v="free/reduced"/>
    <x v="0"/>
    <n v="55"/>
    <n v="71"/>
    <n v="69"/>
  </r>
  <r>
    <x v="0"/>
    <s v="group C"/>
    <x v="4"/>
    <s v="standard"/>
    <x v="0"/>
    <n v="65"/>
    <n v="69"/>
    <n v="67"/>
  </r>
  <r>
    <x v="1"/>
    <s v="group D"/>
    <x v="3"/>
    <s v="standard"/>
    <x v="0"/>
    <n v="80"/>
    <n v="63"/>
    <n v="63"/>
  </r>
  <r>
    <x v="0"/>
    <s v="group C"/>
    <x v="5"/>
    <s v="free/reduced"/>
    <x v="1"/>
    <n v="50"/>
    <n v="60"/>
    <n v="60"/>
  </r>
  <r>
    <x v="0"/>
    <s v="group C"/>
    <x v="1"/>
    <s v="free/reduced"/>
    <x v="1"/>
    <n v="63"/>
    <n v="73"/>
    <n v="71"/>
  </r>
  <r>
    <x v="0"/>
    <s v="group B"/>
    <x v="0"/>
    <s v="free/reduced"/>
    <x v="0"/>
    <n v="77"/>
    <n v="85"/>
    <n v="87"/>
  </r>
  <r>
    <x v="1"/>
    <s v="group C"/>
    <x v="1"/>
    <s v="standard"/>
    <x v="0"/>
    <n v="73"/>
    <n v="74"/>
    <n v="61"/>
  </r>
  <r>
    <x v="1"/>
    <s v="group D"/>
    <x v="3"/>
    <s v="standard"/>
    <x v="1"/>
    <n v="81"/>
    <n v="72"/>
    <n v="77"/>
  </r>
  <r>
    <x v="0"/>
    <s v="group C"/>
    <x v="4"/>
    <s v="free/reduced"/>
    <x v="0"/>
    <n v="66"/>
    <n v="76"/>
    <n v="68"/>
  </r>
  <r>
    <x v="1"/>
    <s v="group D"/>
    <x v="3"/>
    <s v="free/reduced"/>
    <x v="0"/>
    <n v="52"/>
    <n v="57"/>
    <n v="50"/>
  </r>
  <r>
    <x v="0"/>
    <s v="group C"/>
    <x v="1"/>
    <s v="standard"/>
    <x v="0"/>
    <n v="69"/>
    <n v="78"/>
    <n v="76"/>
  </r>
  <r>
    <x v="0"/>
    <s v="group C"/>
    <x v="3"/>
    <s v="standard"/>
    <x v="1"/>
    <n v="65"/>
    <n v="84"/>
    <n v="84"/>
  </r>
  <r>
    <x v="0"/>
    <s v="group D"/>
    <x v="4"/>
    <s v="standard"/>
    <x v="1"/>
    <n v="69"/>
    <n v="77"/>
    <n v="78"/>
  </r>
  <r>
    <x v="0"/>
    <s v="group B"/>
    <x v="1"/>
    <s v="standard"/>
    <x v="1"/>
    <n v="50"/>
    <n v="64"/>
    <n v="66"/>
  </r>
  <r>
    <x v="0"/>
    <s v="group E"/>
    <x v="1"/>
    <s v="standard"/>
    <x v="1"/>
    <n v="73"/>
    <n v="78"/>
    <n v="76"/>
  </r>
  <r>
    <x v="0"/>
    <s v="group C"/>
    <x v="5"/>
    <s v="standard"/>
    <x v="1"/>
    <n v="70"/>
    <n v="82"/>
    <n v="76"/>
  </r>
  <r>
    <x v="1"/>
    <s v="group D"/>
    <x v="3"/>
    <s v="free/reduced"/>
    <x v="0"/>
    <n v="81"/>
    <n v="75"/>
    <n v="78"/>
  </r>
  <r>
    <x v="1"/>
    <s v="group D"/>
    <x v="1"/>
    <s v="free/reduced"/>
    <x v="0"/>
    <n v="63"/>
    <n v="61"/>
    <n v="60"/>
  </r>
  <r>
    <x v="0"/>
    <s v="group D"/>
    <x v="4"/>
    <s v="standard"/>
    <x v="0"/>
    <n v="67"/>
    <n v="72"/>
    <n v="74"/>
  </r>
  <r>
    <x v="1"/>
    <s v="group B"/>
    <x v="4"/>
    <s v="standard"/>
    <x v="0"/>
    <n v="60"/>
    <n v="68"/>
    <n v="60"/>
  </r>
  <r>
    <x v="1"/>
    <s v="group B"/>
    <x v="4"/>
    <s v="standard"/>
    <x v="0"/>
    <n v="62"/>
    <n v="55"/>
    <n v="54"/>
  </r>
  <r>
    <x v="0"/>
    <s v="group C"/>
    <x v="5"/>
    <s v="free/reduced"/>
    <x v="1"/>
    <n v="29"/>
    <n v="40"/>
    <n v="44"/>
  </r>
  <r>
    <x v="1"/>
    <s v="group B"/>
    <x v="1"/>
    <s v="standard"/>
    <x v="1"/>
    <n v="62"/>
    <n v="66"/>
    <n v="68"/>
  </r>
  <r>
    <x v="0"/>
    <s v="group E"/>
    <x v="2"/>
    <s v="standard"/>
    <x v="1"/>
    <n v="94"/>
    <n v="99"/>
    <n v="100"/>
  </r>
  <r>
    <x v="1"/>
    <s v="group E"/>
    <x v="1"/>
    <s v="standard"/>
    <x v="1"/>
    <n v="85"/>
    <n v="75"/>
    <n v="68"/>
  </r>
  <r>
    <x v="1"/>
    <s v="group D"/>
    <x v="3"/>
    <s v="free/reduced"/>
    <x v="0"/>
    <n v="77"/>
    <n v="78"/>
    <n v="73"/>
  </r>
  <r>
    <x v="1"/>
    <s v="group A"/>
    <x v="4"/>
    <s v="free/reduced"/>
    <x v="0"/>
    <n v="53"/>
    <n v="58"/>
    <n v="44"/>
  </r>
  <r>
    <x v="1"/>
    <s v="group E"/>
    <x v="1"/>
    <s v="free/reduced"/>
    <x v="0"/>
    <n v="93"/>
    <n v="90"/>
    <n v="83"/>
  </r>
  <r>
    <x v="0"/>
    <s v="group C"/>
    <x v="3"/>
    <s v="standard"/>
    <x v="0"/>
    <n v="49"/>
    <n v="53"/>
    <n v="53"/>
  </r>
  <r>
    <x v="0"/>
    <s v="group E"/>
    <x v="3"/>
    <s v="free/reduced"/>
    <x v="0"/>
    <n v="73"/>
    <n v="76"/>
    <n v="78"/>
  </r>
  <r>
    <x v="0"/>
    <s v="group C"/>
    <x v="0"/>
    <s v="free/reduced"/>
    <x v="1"/>
    <n v="66"/>
    <n v="74"/>
    <n v="81"/>
  </r>
  <r>
    <x v="0"/>
    <s v="group D"/>
    <x v="3"/>
    <s v="standard"/>
    <x v="0"/>
    <n v="77"/>
    <n v="77"/>
    <n v="73"/>
  </r>
  <r>
    <x v="0"/>
    <s v="group C"/>
    <x v="5"/>
    <s v="standard"/>
    <x v="0"/>
    <n v="49"/>
    <n v="63"/>
    <n v="56"/>
  </r>
  <r>
    <x v="0"/>
    <s v="group D"/>
    <x v="1"/>
    <s v="free/reduced"/>
    <x v="0"/>
    <n v="79"/>
    <n v="89"/>
    <n v="86"/>
  </r>
  <r>
    <x v="0"/>
    <s v="group C"/>
    <x v="3"/>
    <s v="standard"/>
    <x v="1"/>
    <n v="75"/>
    <n v="82"/>
    <n v="90"/>
  </r>
  <r>
    <x v="0"/>
    <s v="group A"/>
    <x v="0"/>
    <s v="standard"/>
    <x v="0"/>
    <n v="59"/>
    <n v="72"/>
    <n v="70"/>
  </r>
  <r>
    <x v="0"/>
    <s v="group D"/>
    <x v="3"/>
    <s v="standard"/>
    <x v="1"/>
    <n v="57"/>
    <n v="78"/>
    <n v="79"/>
  </r>
  <r>
    <x v="1"/>
    <s v="group C"/>
    <x v="4"/>
    <s v="free/reduced"/>
    <x v="0"/>
    <n v="66"/>
    <n v="66"/>
    <n v="59"/>
  </r>
  <r>
    <x v="0"/>
    <s v="group E"/>
    <x v="0"/>
    <s v="standard"/>
    <x v="1"/>
    <n v="79"/>
    <n v="81"/>
    <n v="82"/>
  </r>
  <r>
    <x v="0"/>
    <s v="group B"/>
    <x v="5"/>
    <s v="standard"/>
    <x v="0"/>
    <n v="57"/>
    <n v="67"/>
    <n v="72"/>
  </r>
  <r>
    <x v="1"/>
    <s v="group A"/>
    <x v="0"/>
    <s v="standard"/>
    <x v="1"/>
    <n v="87"/>
    <n v="84"/>
    <n v="87"/>
  </r>
  <r>
    <x v="0"/>
    <s v="group D"/>
    <x v="1"/>
    <s v="standard"/>
    <x v="0"/>
    <n v="63"/>
    <n v="64"/>
    <n v="67"/>
  </r>
  <r>
    <x v="0"/>
    <s v="group B"/>
    <x v="5"/>
    <s v="free/reduced"/>
    <x v="1"/>
    <n v="59"/>
    <n v="63"/>
    <n v="64"/>
  </r>
  <r>
    <x v="1"/>
    <s v="group A"/>
    <x v="0"/>
    <s v="free/reduced"/>
    <x v="0"/>
    <n v="62"/>
    <n v="72"/>
    <n v="65"/>
  </r>
  <r>
    <x v="1"/>
    <s v="group D"/>
    <x v="4"/>
    <s v="standard"/>
    <x v="0"/>
    <n v="46"/>
    <n v="34"/>
    <n v="36"/>
  </r>
  <r>
    <x v="1"/>
    <s v="group C"/>
    <x v="1"/>
    <s v="standard"/>
    <x v="0"/>
    <n v="66"/>
    <n v="59"/>
    <n v="52"/>
  </r>
  <r>
    <x v="1"/>
    <s v="group D"/>
    <x v="4"/>
    <s v="standard"/>
    <x v="0"/>
    <n v="89"/>
    <n v="87"/>
    <n v="79"/>
  </r>
  <r>
    <x v="0"/>
    <s v="group D"/>
    <x v="3"/>
    <s v="free/reduced"/>
    <x v="1"/>
    <n v="42"/>
    <n v="61"/>
    <n v="58"/>
  </r>
  <r>
    <x v="1"/>
    <s v="group C"/>
    <x v="1"/>
    <s v="standard"/>
    <x v="1"/>
    <n v="93"/>
    <n v="84"/>
    <n v="90"/>
  </r>
  <r>
    <x v="0"/>
    <s v="group E"/>
    <x v="5"/>
    <s v="standard"/>
    <x v="1"/>
    <n v="80"/>
    <n v="85"/>
    <n v="85"/>
  </r>
  <r>
    <x v="0"/>
    <s v="group D"/>
    <x v="1"/>
    <s v="standard"/>
    <x v="0"/>
    <n v="98"/>
    <n v="100"/>
    <n v="99"/>
  </r>
  <r>
    <x v="1"/>
    <s v="group D"/>
    <x v="2"/>
    <s v="standard"/>
    <x v="0"/>
    <n v="81"/>
    <n v="81"/>
    <n v="84"/>
  </r>
  <r>
    <x v="0"/>
    <s v="group B"/>
    <x v="5"/>
    <s v="standard"/>
    <x v="1"/>
    <n v="60"/>
    <n v="70"/>
    <n v="74"/>
  </r>
  <r>
    <x v="0"/>
    <s v="group B"/>
    <x v="3"/>
    <s v="free/reduced"/>
    <x v="1"/>
    <n v="76"/>
    <n v="94"/>
    <n v="87"/>
  </r>
  <r>
    <x v="1"/>
    <s v="group C"/>
    <x v="3"/>
    <s v="standard"/>
    <x v="1"/>
    <n v="73"/>
    <n v="78"/>
    <n v="72"/>
  </r>
  <r>
    <x v="0"/>
    <s v="group C"/>
    <x v="3"/>
    <s v="standard"/>
    <x v="1"/>
    <n v="96"/>
    <n v="96"/>
    <n v="99"/>
  </r>
  <r>
    <x v="0"/>
    <s v="group C"/>
    <x v="4"/>
    <s v="standard"/>
    <x v="0"/>
    <n v="76"/>
    <n v="76"/>
    <n v="74"/>
  </r>
  <r>
    <x v="1"/>
    <s v="group E"/>
    <x v="3"/>
    <s v="free/reduced"/>
    <x v="1"/>
    <n v="91"/>
    <n v="73"/>
    <n v="80"/>
  </r>
  <r>
    <x v="0"/>
    <s v="group C"/>
    <x v="1"/>
    <s v="free/reduced"/>
    <x v="0"/>
    <n v="62"/>
    <n v="72"/>
    <n v="70"/>
  </r>
  <r>
    <x v="1"/>
    <s v="group D"/>
    <x v="5"/>
    <s v="free/reduced"/>
    <x v="1"/>
    <n v="55"/>
    <n v="59"/>
    <n v="59"/>
  </r>
  <r>
    <x v="0"/>
    <s v="group B"/>
    <x v="5"/>
    <s v="free/reduced"/>
    <x v="1"/>
    <n v="74"/>
    <n v="90"/>
    <n v="88"/>
  </r>
  <r>
    <x v="1"/>
    <s v="group C"/>
    <x v="4"/>
    <s v="standard"/>
    <x v="0"/>
    <n v="50"/>
    <n v="48"/>
    <n v="42"/>
  </r>
  <r>
    <x v="1"/>
    <s v="group B"/>
    <x v="1"/>
    <s v="standard"/>
    <x v="0"/>
    <n v="47"/>
    <n v="43"/>
    <n v="41"/>
  </r>
  <r>
    <x v="1"/>
    <s v="group E"/>
    <x v="1"/>
    <s v="standard"/>
    <x v="1"/>
    <n v="81"/>
    <n v="74"/>
    <n v="71"/>
  </r>
  <r>
    <x v="0"/>
    <s v="group E"/>
    <x v="3"/>
    <s v="standard"/>
    <x v="1"/>
    <n v="65"/>
    <n v="75"/>
    <n v="77"/>
  </r>
  <r>
    <x v="1"/>
    <s v="group E"/>
    <x v="5"/>
    <s v="standard"/>
    <x v="1"/>
    <n v="68"/>
    <n v="51"/>
    <n v="57"/>
  </r>
  <r>
    <x v="0"/>
    <s v="group D"/>
    <x v="4"/>
    <s v="free/reduced"/>
    <x v="0"/>
    <n v="73"/>
    <n v="92"/>
    <n v="84"/>
  </r>
  <r>
    <x v="1"/>
    <s v="group C"/>
    <x v="1"/>
    <s v="standard"/>
    <x v="0"/>
    <n v="53"/>
    <n v="39"/>
    <n v="37"/>
  </r>
  <r>
    <x v="0"/>
    <s v="group B"/>
    <x v="3"/>
    <s v="free/reduced"/>
    <x v="1"/>
    <n v="68"/>
    <n v="77"/>
    <n v="80"/>
  </r>
  <r>
    <x v="1"/>
    <s v="group A"/>
    <x v="5"/>
    <s v="free/reduced"/>
    <x v="0"/>
    <n v="55"/>
    <n v="46"/>
    <n v="43"/>
  </r>
  <r>
    <x v="0"/>
    <s v="group C"/>
    <x v="1"/>
    <s v="standard"/>
    <x v="1"/>
    <n v="87"/>
    <n v="89"/>
    <n v="94"/>
  </r>
  <r>
    <x v="1"/>
    <s v="group D"/>
    <x v="5"/>
    <s v="standard"/>
    <x v="0"/>
    <n v="55"/>
    <n v="47"/>
    <n v="44"/>
  </r>
  <r>
    <x v="0"/>
    <s v="group E"/>
    <x v="1"/>
    <s v="free/reduced"/>
    <x v="0"/>
    <n v="53"/>
    <n v="58"/>
    <n v="57"/>
  </r>
  <r>
    <x v="1"/>
    <s v="group C"/>
    <x v="2"/>
    <s v="standard"/>
    <x v="0"/>
    <n v="67"/>
    <n v="57"/>
    <n v="59"/>
  </r>
  <r>
    <x v="1"/>
    <s v="group C"/>
    <x v="3"/>
    <s v="standard"/>
    <x v="0"/>
    <n v="92"/>
    <n v="79"/>
    <n v="84"/>
  </r>
  <r>
    <x v="0"/>
    <s v="group B"/>
    <x v="1"/>
    <s v="free/reduced"/>
    <x v="1"/>
    <n v="53"/>
    <n v="66"/>
    <n v="73"/>
  </r>
  <r>
    <x v="1"/>
    <s v="group D"/>
    <x v="3"/>
    <s v="standard"/>
    <x v="0"/>
    <n v="81"/>
    <n v="71"/>
    <n v="73"/>
  </r>
  <r>
    <x v="1"/>
    <s v="group C"/>
    <x v="4"/>
    <s v="free/reduced"/>
    <x v="0"/>
    <n v="61"/>
    <n v="60"/>
    <n v="55"/>
  </r>
  <r>
    <x v="1"/>
    <s v="group D"/>
    <x v="0"/>
    <s v="standard"/>
    <x v="0"/>
    <n v="80"/>
    <n v="73"/>
    <n v="72"/>
  </r>
  <r>
    <x v="0"/>
    <s v="group A"/>
    <x v="3"/>
    <s v="free/reduced"/>
    <x v="0"/>
    <n v="37"/>
    <n v="57"/>
    <n v="56"/>
  </r>
  <r>
    <x v="0"/>
    <s v="group C"/>
    <x v="4"/>
    <s v="standard"/>
    <x v="0"/>
    <n v="81"/>
    <n v="84"/>
    <n v="82"/>
  </r>
  <r>
    <x v="0"/>
    <s v="group C"/>
    <x v="3"/>
    <s v="standard"/>
    <x v="1"/>
    <n v="59"/>
    <n v="73"/>
    <n v="72"/>
  </r>
  <r>
    <x v="1"/>
    <s v="group B"/>
    <x v="1"/>
    <s v="free/reduced"/>
    <x v="0"/>
    <n v="55"/>
    <n v="55"/>
    <n v="47"/>
  </r>
  <r>
    <x v="1"/>
    <s v="group D"/>
    <x v="3"/>
    <s v="standard"/>
    <x v="0"/>
    <n v="72"/>
    <n v="79"/>
    <n v="74"/>
  </r>
  <r>
    <x v="1"/>
    <s v="group D"/>
    <x v="4"/>
    <s v="standard"/>
    <x v="0"/>
    <n v="69"/>
    <n v="75"/>
    <n v="71"/>
  </r>
  <r>
    <x v="1"/>
    <s v="group C"/>
    <x v="1"/>
    <s v="standard"/>
    <x v="0"/>
    <n v="69"/>
    <n v="64"/>
    <n v="68"/>
  </r>
  <r>
    <x v="0"/>
    <s v="group C"/>
    <x v="0"/>
    <s v="free/reduced"/>
    <x v="0"/>
    <n v="50"/>
    <n v="60"/>
    <n v="59"/>
  </r>
  <r>
    <x v="1"/>
    <s v="group B"/>
    <x v="1"/>
    <s v="standard"/>
    <x v="1"/>
    <n v="87"/>
    <n v="84"/>
    <n v="86"/>
  </r>
  <r>
    <x v="1"/>
    <s v="group D"/>
    <x v="5"/>
    <s v="standard"/>
    <x v="1"/>
    <n v="71"/>
    <n v="69"/>
    <n v="68"/>
  </r>
  <r>
    <x v="1"/>
    <s v="group E"/>
    <x v="1"/>
    <s v="standard"/>
    <x v="0"/>
    <n v="68"/>
    <n v="72"/>
    <n v="65"/>
  </r>
  <r>
    <x v="1"/>
    <s v="group C"/>
    <x v="2"/>
    <s v="free/reduced"/>
    <x v="1"/>
    <n v="79"/>
    <n v="77"/>
    <n v="75"/>
  </r>
  <r>
    <x v="0"/>
    <s v="group C"/>
    <x v="5"/>
    <s v="standard"/>
    <x v="1"/>
    <n v="77"/>
    <n v="90"/>
    <n v="85"/>
  </r>
  <r>
    <x v="1"/>
    <s v="group C"/>
    <x v="3"/>
    <s v="free/reduced"/>
    <x v="0"/>
    <n v="58"/>
    <n v="55"/>
    <n v="53"/>
  </r>
  <r>
    <x v="0"/>
    <s v="group E"/>
    <x v="3"/>
    <s v="standard"/>
    <x v="0"/>
    <n v="84"/>
    <n v="95"/>
    <n v="92"/>
  </r>
  <r>
    <x v="1"/>
    <s v="group D"/>
    <x v="1"/>
    <s v="standard"/>
    <x v="0"/>
    <n v="55"/>
    <n v="58"/>
    <n v="52"/>
  </r>
  <r>
    <x v="1"/>
    <s v="group E"/>
    <x v="0"/>
    <s v="free/reduced"/>
    <x v="1"/>
    <n v="70"/>
    <n v="68"/>
    <n v="72"/>
  </r>
  <r>
    <x v="0"/>
    <s v="group D"/>
    <x v="1"/>
    <s v="free/reduced"/>
    <x v="1"/>
    <n v="52"/>
    <n v="59"/>
    <n v="65"/>
  </r>
  <r>
    <x v="1"/>
    <s v="group B"/>
    <x v="1"/>
    <s v="standard"/>
    <x v="1"/>
    <n v="69"/>
    <n v="77"/>
    <n v="77"/>
  </r>
  <r>
    <x v="0"/>
    <s v="group C"/>
    <x v="4"/>
    <s v="free/reduced"/>
    <x v="0"/>
    <n v="53"/>
    <n v="72"/>
    <n v="64"/>
  </r>
  <r>
    <x v="0"/>
    <s v="group D"/>
    <x v="5"/>
    <s v="standard"/>
    <x v="0"/>
    <n v="48"/>
    <n v="58"/>
    <n v="54"/>
  </r>
  <r>
    <x v="1"/>
    <s v="group D"/>
    <x v="5"/>
    <s v="standard"/>
    <x v="1"/>
    <n v="78"/>
    <n v="81"/>
    <n v="86"/>
  </r>
  <r>
    <x v="0"/>
    <s v="group B"/>
    <x v="4"/>
    <s v="standard"/>
    <x v="0"/>
    <n v="62"/>
    <n v="62"/>
    <n v="63"/>
  </r>
  <r>
    <x v="1"/>
    <s v="group D"/>
    <x v="1"/>
    <s v="standard"/>
    <x v="0"/>
    <n v="60"/>
    <n v="63"/>
    <n v="59"/>
  </r>
  <r>
    <x v="0"/>
    <s v="group B"/>
    <x v="4"/>
    <s v="standard"/>
    <x v="0"/>
    <n v="74"/>
    <n v="72"/>
    <n v="72"/>
  </r>
  <r>
    <x v="0"/>
    <s v="group C"/>
    <x v="4"/>
    <s v="standard"/>
    <x v="1"/>
    <n v="58"/>
    <n v="75"/>
    <n v="77"/>
  </r>
  <r>
    <x v="1"/>
    <s v="group B"/>
    <x v="4"/>
    <s v="standard"/>
    <x v="1"/>
    <n v="76"/>
    <n v="62"/>
    <n v="60"/>
  </r>
  <r>
    <x v="0"/>
    <s v="group D"/>
    <x v="5"/>
    <s v="standard"/>
    <x v="0"/>
    <n v="68"/>
    <n v="71"/>
    <n v="75"/>
  </r>
  <r>
    <x v="1"/>
    <s v="group A"/>
    <x v="1"/>
    <s v="free/reduced"/>
    <x v="0"/>
    <n v="58"/>
    <n v="60"/>
    <n v="57"/>
  </r>
  <r>
    <x v="1"/>
    <s v="group B"/>
    <x v="4"/>
    <s v="standard"/>
    <x v="0"/>
    <n v="52"/>
    <n v="48"/>
    <n v="49"/>
  </r>
  <r>
    <x v="1"/>
    <s v="group D"/>
    <x v="0"/>
    <s v="standard"/>
    <x v="0"/>
    <n v="75"/>
    <n v="73"/>
    <n v="74"/>
  </r>
  <r>
    <x v="0"/>
    <s v="group B"/>
    <x v="5"/>
    <s v="free/reduced"/>
    <x v="1"/>
    <n v="52"/>
    <n v="67"/>
    <n v="72"/>
  </r>
  <r>
    <x v="0"/>
    <s v="group C"/>
    <x v="0"/>
    <s v="free/reduced"/>
    <x v="0"/>
    <n v="62"/>
    <n v="78"/>
    <n v="79"/>
  </r>
  <r>
    <x v="1"/>
    <s v="group B"/>
    <x v="1"/>
    <s v="standard"/>
    <x v="0"/>
    <n v="66"/>
    <n v="65"/>
    <n v="60"/>
  </r>
  <r>
    <x v="0"/>
    <s v="group B"/>
    <x v="5"/>
    <s v="free/reduced"/>
    <x v="0"/>
    <n v="49"/>
    <n v="58"/>
    <n v="55"/>
  </r>
  <r>
    <x v="0"/>
    <s v="group B"/>
    <x v="4"/>
    <s v="standard"/>
    <x v="0"/>
    <n v="66"/>
    <n v="72"/>
    <n v="70"/>
  </r>
  <r>
    <x v="0"/>
    <s v="group C"/>
    <x v="1"/>
    <s v="free/reduced"/>
    <x v="0"/>
    <n v="35"/>
    <n v="44"/>
    <n v="43"/>
  </r>
  <r>
    <x v="0"/>
    <s v="group A"/>
    <x v="1"/>
    <s v="standard"/>
    <x v="1"/>
    <n v="72"/>
    <n v="79"/>
    <n v="82"/>
  </r>
  <r>
    <x v="1"/>
    <s v="group E"/>
    <x v="3"/>
    <s v="standard"/>
    <x v="1"/>
    <n v="94"/>
    <n v="85"/>
    <n v="82"/>
  </r>
  <r>
    <x v="0"/>
    <s v="group D"/>
    <x v="3"/>
    <s v="free/reduced"/>
    <x v="0"/>
    <n v="46"/>
    <n v="56"/>
    <n v="57"/>
  </r>
  <r>
    <x v="0"/>
    <s v="group B"/>
    <x v="2"/>
    <s v="standard"/>
    <x v="0"/>
    <n v="77"/>
    <n v="90"/>
    <n v="84"/>
  </r>
  <r>
    <x v="0"/>
    <s v="group B"/>
    <x v="4"/>
    <s v="free/reduced"/>
    <x v="1"/>
    <n v="76"/>
    <n v="85"/>
    <n v="82"/>
  </r>
  <r>
    <x v="0"/>
    <s v="group C"/>
    <x v="3"/>
    <s v="standard"/>
    <x v="1"/>
    <n v="52"/>
    <n v="59"/>
    <n v="62"/>
  </r>
  <r>
    <x v="1"/>
    <s v="group C"/>
    <x v="0"/>
    <s v="standard"/>
    <x v="1"/>
    <n v="91"/>
    <n v="81"/>
    <n v="79"/>
  </r>
  <r>
    <x v="0"/>
    <s v="group B"/>
    <x v="5"/>
    <s v="standard"/>
    <x v="1"/>
    <n v="32"/>
    <n v="51"/>
    <n v="44"/>
  </r>
  <r>
    <x v="0"/>
    <s v="group E"/>
    <x v="5"/>
    <s v="free/reduced"/>
    <x v="0"/>
    <n v="72"/>
    <n v="79"/>
    <n v="77"/>
  </r>
  <r>
    <x v="0"/>
    <s v="group B"/>
    <x v="1"/>
    <s v="standard"/>
    <x v="0"/>
    <n v="19"/>
    <n v="38"/>
    <n v="32"/>
  </r>
  <r>
    <x v="1"/>
    <s v="group C"/>
    <x v="3"/>
    <s v="free/reduced"/>
    <x v="0"/>
    <n v="68"/>
    <n v="65"/>
    <n v="61"/>
  </r>
  <r>
    <x v="0"/>
    <s v="group C"/>
    <x v="2"/>
    <s v="free/reduced"/>
    <x v="0"/>
    <n v="52"/>
    <n v="65"/>
    <n v="61"/>
  </r>
  <r>
    <x v="0"/>
    <s v="group B"/>
    <x v="4"/>
    <s v="standard"/>
    <x v="0"/>
    <n v="48"/>
    <n v="62"/>
    <n v="60"/>
  </r>
  <r>
    <x v="0"/>
    <s v="group D"/>
    <x v="1"/>
    <s v="free/reduced"/>
    <x v="0"/>
    <n v="60"/>
    <n v="66"/>
    <n v="70"/>
  </r>
  <r>
    <x v="1"/>
    <s v="group D"/>
    <x v="4"/>
    <s v="free/reduced"/>
    <x v="0"/>
    <n v="66"/>
    <n v="74"/>
    <n v="69"/>
  </r>
  <r>
    <x v="1"/>
    <s v="group E"/>
    <x v="5"/>
    <s v="standard"/>
    <x v="1"/>
    <n v="89"/>
    <n v="84"/>
    <n v="77"/>
  </r>
  <r>
    <x v="0"/>
    <s v="group B"/>
    <x v="4"/>
    <s v="standard"/>
    <x v="0"/>
    <n v="42"/>
    <n v="52"/>
    <n v="51"/>
  </r>
  <r>
    <x v="0"/>
    <s v="group E"/>
    <x v="3"/>
    <s v="free/reduced"/>
    <x v="1"/>
    <n v="57"/>
    <n v="68"/>
    <n v="73"/>
  </r>
  <r>
    <x v="1"/>
    <s v="group D"/>
    <x v="4"/>
    <s v="standard"/>
    <x v="0"/>
    <n v="70"/>
    <n v="70"/>
    <n v="70"/>
  </r>
  <r>
    <x v="0"/>
    <s v="group E"/>
    <x v="3"/>
    <s v="free/reduced"/>
    <x v="0"/>
    <n v="70"/>
    <n v="84"/>
    <n v="81"/>
  </r>
  <r>
    <x v="1"/>
    <s v="group E"/>
    <x v="1"/>
    <s v="standard"/>
    <x v="0"/>
    <n v="69"/>
    <n v="60"/>
    <n v="54"/>
  </r>
  <r>
    <x v="0"/>
    <s v="group C"/>
    <x v="3"/>
    <s v="standard"/>
    <x v="0"/>
    <n v="52"/>
    <n v="55"/>
    <n v="57"/>
  </r>
  <r>
    <x v="1"/>
    <s v="group C"/>
    <x v="5"/>
    <s v="standard"/>
    <x v="1"/>
    <n v="67"/>
    <n v="73"/>
    <n v="68"/>
  </r>
  <r>
    <x v="1"/>
    <s v="group C"/>
    <x v="5"/>
    <s v="standard"/>
    <x v="1"/>
    <n v="76"/>
    <n v="80"/>
    <n v="73"/>
  </r>
  <r>
    <x v="0"/>
    <s v="group E"/>
    <x v="3"/>
    <s v="standard"/>
    <x v="0"/>
    <n v="87"/>
    <n v="94"/>
    <n v="95"/>
  </r>
  <r>
    <x v="0"/>
    <s v="group B"/>
    <x v="1"/>
    <s v="standard"/>
    <x v="0"/>
    <n v="82"/>
    <n v="85"/>
    <n v="87"/>
  </r>
  <r>
    <x v="0"/>
    <s v="group C"/>
    <x v="1"/>
    <s v="standard"/>
    <x v="0"/>
    <n v="73"/>
    <n v="76"/>
    <n v="78"/>
  </r>
  <r>
    <x v="1"/>
    <s v="group A"/>
    <x v="1"/>
    <s v="free/reduced"/>
    <x v="0"/>
    <n v="75"/>
    <n v="81"/>
    <n v="74"/>
  </r>
  <r>
    <x v="0"/>
    <s v="group D"/>
    <x v="1"/>
    <s v="free/reduced"/>
    <x v="0"/>
    <n v="64"/>
    <n v="74"/>
    <n v="75"/>
  </r>
  <r>
    <x v="0"/>
    <s v="group E"/>
    <x v="4"/>
    <s v="free/reduced"/>
    <x v="0"/>
    <n v="41"/>
    <n v="45"/>
    <n v="40"/>
  </r>
  <r>
    <x v="1"/>
    <s v="group C"/>
    <x v="4"/>
    <s v="standard"/>
    <x v="0"/>
    <n v="90"/>
    <n v="75"/>
    <n v="69"/>
  </r>
  <r>
    <x v="1"/>
    <s v="group B"/>
    <x v="0"/>
    <s v="standard"/>
    <x v="0"/>
    <n v="59"/>
    <n v="54"/>
    <n v="51"/>
  </r>
  <r>
    <x v="1"/>
    <s v="group A"/>
    <x v="5"/>
    <s v="standard"/>
    <x v="0"/>
    <n v="51"/>
    <n v="31"/>
    <n v="36"/>
  </r>
  <r>
    <x v="1"/>
    <s v="group A"/>
    <x v="4"/>
    <s v="free/reduced"/>
    <x v="0"/>
    <n v="45"/>
    <n v="47"/>
    <n v="49"/>
  </r>
  <r>
    <x v="0"/>
    <s v="group C"/>
    <x v="2"/>
    <s v="standard"/>
    <x v="1"/>
    <n v="54"/>
    <n v="64"/>
    <n v="67"/>
  </r>
  <r>
    <x v="1"/>
    <s v="group E"/>
    <x v="5"/>
    <s v="standard"/>
    <x v="1"/>
    <n v="87"/>
    <n v="84"/>
    <n v="76"/>
  </r>
  <r>
    <x v="0"/>
    <s v="group C"/>
    <x v="4"/>
    <s v="standard"/>
    <x v="0"/>
    <n v="72"/>
    <n v="80"/>
    <n v="83"/>
  </r>
  <r>
    <x v="1"/>
    <s v="group B"/>
    <x v="5"/>
    <s v="standard"/>
    <x v="1"/>
    <n v="94"/>
    <n v="86"/>
    <n v="87"/>
  </r>
  <r>
    <x v="0"/>
    <s v="group A"/>
    <x v="0"/>
    <s v="standard"/>
    <x v="0"/>
    <n v="45"/>
    <n v="59"/>
    <n v="64"/>
  </r>
  <r>
    <x v="1"/>
    <s v="group D"/>
    <x v="0"/>
    <s v="free/reduced"/>
    <x v="1"/>
    <n v="61"/>
    <n v="70"/>
    <n v="76"/>
  </r>
  <r>
    <x v="0"/>
    <s v="group B"/>
    <x v="4"/>
    <s v="free/reduced"/>
    <x v="0"/>
    <n v="60"/>
    <n v="72"/>
    <n v="68"/>
  </r>
  <r>
    <x v="0"/>
    <s v="group C"/>
    <x v="5"/>
    <s v="standard"/>
    <x v="0"/>
    <n v="77"/>
    <n v="91"/>
    <n v="88"/>
  </r>
  <r>
    <x v="0"/>
    <s v="group A"/>
    <x v="5"/>
    <s v="standard"/>
    <x v="1"/>
    <n v="85"/>
    <n v="90"/>
    <n v="92"/>
  </r>
  <r>
    <x v="0"/>
    <s v="group D"/>
    <x v="0"/>
    <s v="free/reduced"/>
    <x v="0"/>
    <n v="78"/>
    <n v="90"/>
    <n v="93"/>
  </r>
  <r>
    <x v="1"/>
    <s v="group E"/>
    <x v="1"/>
    <s v="free/reduced"/>
    <x v="1"/>
    <n v="49"/>
    <n v="52"/>
    <n v="51"/>
  </r>
  <r>
    <x v="0"/>
    <s v="group B"/>
    <x v="4"/>
    <s v="free/reduced"/>
    <x v="0"/>
    <n v="71"/>
    <n v="87"/>
    <n v="82"/>
  </r>
  <r>
    <x v="0"/>
    <s v="group C"/>
    <x v="5"/>
    <s v="free/reduced"/>
    <x v="0"/>
    <n v="48"/>
    <n v="58"/>
    <n v="52"/>
  </r>
  <r>
    <x v="1"/>
    <s v="group C"/>
    <x v="4"/>
    <s v="standard"/>
    <x v="0"/>
    <n v="62"/>
    <n v="67"/>
    <n v="58"/>
  </r>
  <r>
    <x v="0"/>
    <s v="group C"/>
    <x v="3"/>
    <s v="free/reduced"/>
    <x v="1"/>
    <n v="56"/>
    <n v="68"/>
    <n v="70"/>
  </r>
  <r>
    <x v="0"/>
    <s v="group C"/>
    <x v="5"/>
    <s v="standard"/>
    <x v="0"/>
    <n v="65"/>
    <n v="69"/>
    <n v="76"/>
  </r>
  <r>
    <x v="0"/>
    <s v="group D"/>
    <x v="5"/>
    <s v="free/reduced"/>
    <x v="1"/>
    <n v="69"/>
    <n v="86"/>
    <n v="81"/>
  </r>
  <r>
    <x v="1"/>
    <s v="group B"/>
    <x v="5"/>
    <s v="standard"/>
    <x v="0"/>
    <n v="68"/>
    <n v="54"/>
    <n v="53"/>
  </r>
  <r>
    <x v="0"/>
    <s v="group A"/>
    <x v="1"/>
    <s v="free/reduced"/>
    <x v="0"/>
    <n v="61"/>
    <n v="60"/>
    <n v="57"/>
  </r>
  <r>
    <x v="0"/>
    <s v="group C"/>
    <x v="0"/>
    <s v="free/reduced"/>
    <x v="1"/>
    <n v="74"/>
    <n v="86"/>
    <n v="89"/>
  </r>
  <r>
    <x v="1"/>
    <s v="group A"/>
    <x v="0"/>
    <s v="standard"/>
    <x v="0"/>
    <n v="64"/>
    <n v="60"/>
    <n v="58"/>
  </r>
  <r>
    <x v="0"/>
    <s v="group B"/>
    <x v="4"/>
    <s v="standard"/>
    <x v="1"/>
    <n v="77"/>
    <n v="82"/>
    <n v="89"/>
  </r>
  <r>
    <x v="1"/>
    <s v="group B"/>
    <x v="1"/>
    <s v="standard"/>
    <x v="0"/>
    <n v="58"/>
    <n v="50"/>
    <n v="45"/>
  </r>
  <r>
    <x v="0"/>
    <s v="group C"/>
    <x v="4"/>
    <s v="standard"/>
    <x v="1"/>
    <n v="60"/>
    <n v="64"/>
    <n v="74"/>
  </r>
  <r>
    <x v="1"/>
    <s v="group E"/>
    <x v="4"/>
    <s v="standard"/>
    <x v="0"/>
    <n v="73"/>
    <n v="64"/>
    <n v="57"/>
  </r>
  <r>
    <x v="0"/>
    <s v="group A"/>
    <x v="4"/>
    <s v="standard"/>
    <x v="1"/>
    <n v="75"/>
    <n v="82"/>
    <n v="79"/>
  </r>
  <r>
    <x v="1"/>
    <s v="group B"/>
    <x v="3"/>
    <s v="free/reduced"/>
    <x v="1"/>
    <n v="58"/>
    <n v="57"/>
    <n v="53"/>
  </r>
  <r>
    <x v="0"/>
    <s v="group C"/>
    <x v="3"/>
    <s v="standard"/>
    <x v="0"/>
    <n v="66"/>
    <n v="77"/>
    <n v="73"/>
  </r>
  <r>
    <x v="0"/>
    <s v="group D"/>
    <x v="4"/>
    <s v="free/reduced"/>
    <x v="0"/>
    <n v="39"/>
    <n v="52"/>
    <n v="46"/>
  </r>
  <r>
    <x v="1"/>
    <s v="group C"/>
    <x v="5"/>
    <s v="standard"/>
    <x v="0"/>
    <n v="64"/>
    <n v="58"/>
    <n v="51"/>
  </r>
  <r>
    <x v="0"/>
    <s v="group B"/>
    <x v="4"/>
    <s v="free/reduced"/>
    <x v="1"/>
    <n v="23"/>
    <n v="44"/>
    <n v="36"/>
  </r>
  <r>
    <x v="1"/>
    <s v="group B"/>
    <x v="1"/>
    <s v="free/reduced"/>
    <x v="1"/>
    <n v="74"/>
    <n v="77"/>
    <n v="76"/>
  </r>
  <r>
    <x v="0"/>
    <s v="group D"/>
    <x v="5"/>
    <s v="free/reduced"/>
    <x v="1"/>
    <n v="40"/>
    <n v="65"/>
    <n v="64"/>
  </r>
  <r>
    <x v="1"/>
    <s v="group E"/>
    <x v="2"/>
    <s v="standard"/>
    <x v="0"/>
    <n v="90"/>
    <n v="85"/>
    <n v="84"/>
  </r>
  <r>
    <x v="1"/>
    <s v="group C"/>
    <x v="2"/>
    <s v="standard"/>
    <x v="1"/>
    <n v="91"/>
    <n v="85"/>
    <n v="85"/>
  </r>
  <r>
    <x v="1"/>
    <s v="group D"/>
    <x v="4"/>
    <s v="standard"/>
    <x v="0"/>
    <n v="64"/>
    <n v="54"/>
    <n v="50"/>
  </r>
  <r>
    <x v="0"/>
    <s v="group C"/>
    <x v="4"/>
    <s v="standard"/>
    <x v="0"/>
    <n v="59"/>
    <n v="72"/>
    <n v="68"/>
  </r>
  <r>
    <x v="1"/>
    <s v="group D"/>
    <x v="3"/>
    <s v="standard"/>
    <x v="0"/>
    <n v="80"/>
    <n v="75"/>
    <n v="69"/>
  </r>
  <r>
    <x v="1"/>
    <s v="group C"/>
    <x v="2"/>
    <s v="standard"/>
    <x v="0"/>
    <n v="71"/>
    <n v="67"/>
    <n v="67"/>
  </r>
  <r>
    <x v="0"/>
    <s v="group A"/>
    <x v="4"/>
    <s v="standard"/>
    <x v="0"/>
    <n v="61"/>
    <n v="68"/>
    <n v="63"/>
  </r>
  <r>
    <x v="0"/>
    <s v="group E"/>
    <x v="1"/>
    <s v="standard"/>
    <x v="0"/>
    <n v="87"/>
    <n v="85"/>
    <n v="93"/>
  </r>
  <r>
    <x v="1"/>
    <s v="group E"/>
    <x v="5"/>
    <s v="standard"/>
    <x v="0"/>
    <n v="82"/>
    <n v="67"/>
    <n v="61"/>
  </r>
  <r>
    <x v="1"/>
    <s v="group C"/>
    <x v="5"/>
    <s v="standard"/>
    <x v="0"/>
    <n v="62"/>
    <n v="64"/>
    <n v="55"/>
  </r>
  <r>
    <x v="0"/>
    <s v="group B"/>
    <x v="0"/>
    <s v="standard"/>
    <x v="0"/>
    <n v="97"/>
    <n v="97"/>
    <n v="96"/>
  </r>
  <r>
    <x v="1"/>
    <s v="group B"/>
    <x v="1"/>
    <s v="free/reduced"/>
    <x v="0"/>
    <n v="75"/>
    <n v="68"/>
    <n v="65"/>
  </r>
  <r>
    <x v="0"/>
    <s v="group C"/>
    <x v="0"/>
    <s v="standard"/>
    <x v="0"/>
    <n v="65"/>
    <n v="79"/>
    <n v="81"/>
  </r>
  <r>
    <x v="1"/>
    <s v="group B"/>
    <x v="4"/>
    <s v="standard"/>
    <x v="1"/>
    <n v="52"/>
    <n v="49"/>
    <n v="46"/>
  </r>
  <r>
    <x v="1"/>
    <s v="group C"/>
    <x v="3"/>
    <s v="free/reduced"/>
    <x v="0"/>
    <n v="87"/>
    <n v="73"/>
    <n v="72"/>
  </r>
  <r>
    <x v="0"/>
    <s v="group C"/>
    <x v="3"/>
    <s v="standard"/>
    <x v="0"/>
    <n v="53"/>
    <n v="62"/>
    <n v="53"/>
  </r>
  <r>
    <x v="0"/>
    <s v="group E"/>
    <x v="2"/>
    <s v="free/reduced"/>
    <x v="0"/>
    <n v="81"/>
    <n v="86"/>
    <n v="87"/>
  </r>
  <r>
    <x v="1"/>
    <s v="group D"/>
    <x v="0"/>
    <s v="free/reduced"/>
    <x v="1"/>
    <n v="39"/>
    <n v="42"/>
    <n v="38"/>
  </r>
  <r>
    <x v="0"/>
    <s v="group C"/>
    <x v="1"/>
    <s v="standard"/>
    <x v="1"/>
    <n v="71"/>
    <n v="71"/>
    <n v="80"/>
  </r>
  <r>
    <x v="1"/>
    <s v="group C"/>
    <x v="3"/>
    <s v="standard"/>
    <x v="0"/>
    <n v="97"/>
    <n v="93"/>
    <n v="91"/>
  </r>
  <r>
    <x v="1"/>
    <s v="group D"/>
    <x v="1"/>
    <s v="standard"/>
    <x v="1"/>
    <n v="82"/>
    <n v="82"/>
    <n v="88"/>
  </r>
  <r>
    <x v="1"/>
    <s v="group C"/>
    <x v="4"/>
    <s v="free/reduced"/>
    <x v="0"/>
    <n v="59"/>
    <n v="53"/>
    <n v="52"/>
  </r>
  <r>
    <x v="1"/>
    <s v="group B"/>
    <x v="3"/>
    <s v="standard"/>
    <x v="0"/>
    <n v="61"/>
    <n v="42"/>
    <n v="41"/>
  </r>
  <r>
    <x v="1"/>
    <s v="group E"/>
    <x v="3"/>
    <s v="free/reduced"/>
    <x v="1"/>
    <n v="78"/>
    <n v="74"/>
    <n v="72"/>
  </r>
  <r>
    <x v="1"/>
    <s v="group C"/>
    <x v="3"/>
    <s v="free/reduced"/>
    <x v="0"/>
    <n v="49"/>
    <n v="51"/>
    <n v="51"/>
  </r>
  <r>
    <x v="1"/>
    <s v="group B"/>
    <x v="4"/>
    <s v="standard"/>
    <x v="0"/>
    <n v="59"/>
    <n v="58"/>
    <n v="47"/>
  </r>
  <r>
    <x v="0"/>
    <s v="group C"/>
    <x v="1"/>
    <s v="standard"/>
    <x v="1"/>
    <n v="70"/>
    <n v="72"/>
    <n v="76"/>
  </r>
  <r>
    <x v="1"/>
    <s v="group B"/>
    <x v="3"/>
    <s v="standard"/>
    <x v="1"/>
    <n v="82"/>
    <n v="84"/>
    <n v="78"/>
  </r>
  <r>
    <x v="1"/>
    <s v="group E"/>
    <x v="3"/>
    <s v="free/reduced"/>
    <x v="0"/>
    <n v="90"/>
    <n v="90"/>
    <n v="82"/>
  </r>
  <r>
    <x v="0"/>
    <s v="group C"/>
    <x v="0"/>
    <s v="free/reduced"/>
    <x v="0"/>
    <n v="43"/>
    <n v="62"/>
    <n v="61"/>
  </r>
  <r>
    <x v="1"/>
    <s v="group C"/>
    <x v="1"/>
    <s v="free/reduced"/>
    <x v="0"/>
    <n v="80"/>
    <n v="64"/>
    <n v="66"/>
  </r>
  <r>
    <x v="1"/>
    <s v="group D"/>
    <x v="1"/>
    <s v="standard"/>
    <x v="0"/>
    <n v="81"/>
    <n v="82"/>
    <n v="84"/>
  </r>
  <r>
    <x v="1"/>
    <s v="group C"/>
    <x v="5"/>
    <s v="standard"/>
    <x v="0"/>
    <n v="57"/>
    <n v="61"/>
    <n v="54"/>
  </r>
  <r>
    <x v="0"/>
    <s v="group D"/>
    <x v="5"/>
    <s v="standard"/>
    <x v="0"/>
    <n v="59"/>
    <n v="72"/>
    <n v="80"/>
  </r>
  <r>
    <x v="0"/>
    <s v="group D"/>
    <x v="3"/>
    <s v="standard"/>
    <x v="0"/>
    <n v="64"/>
    <n v="76"/>
    <n v="74"/>
  </r>
  <r>
    <x v="1"/>
    <s v="group C"/>
    <x v="0"/>
    <s v="standard"/>
    <x v="1"/>
    <n v="63"/>
    <n v="64"/>
    <n v="66"/>
  </r>
  <r>
    <x v="0"/>
    <s v="group E"/>
    <x v="0"/>
    <s v="standard"/>
    <x v="1"/>
    <n v="71"/>
    <n v="70"/>
    <n v="70"/>
  </r>
  <r>
    <x v="0"/>
    <s v="group B"/>
    <x v="4"/>
    <s v="free/reduced"/>
    <x v="0"/>
    <n v="64"/>
    <n v="73"/>
    <n v="71"/>
  </r>
  <r>
    <x v="1"/>
    <s v="group D"/>
    <x v="0"/>
    <s v="free/reduced"/>
    <x v="0"/>
    <n v="55"/>
    <n v="46"/>
    <n v="44"/>
  </r>
  <r>
    <x v="0"/>
    <s v="group E"/>
    <x v="3"/>
    <s v="standard"/>
    <x v="0"/>
    <n v="51"/>
    <n v="51"/>
    <n v="54"/>
  </r>
  <r>
    <x v="0"/>
    <s v="group C"/>
    <x v="3"/>
    <s v="standard"/>
    <x v="1"/>
    <n v="62"/>
    <n v="76"/>
    <n v="80"/>
  </r>
  <r>
    <x v="0"/>
    <s v="group E"/>
    <x v="3"/>
    <s v="standard"/>
    <x v="1"/>
    <n v="93"/>
    <n v="100"/>
    <n v="95"/>
  </r>
  <r>
    <x v="1"/>
    <s v="group C"/>
    <x v="4"/>
    <s v="free/reduced"/>
    <x v="0"/>
    <n v="54"/>
    <n v="72"/>
    <n v="59"/>
  </r>
  <r>
    <x v="0"/>
    <s v="group D"/>
    <x v="1"/>
    <s v="free/reduced"/>
    <x v="0"/>
    <n v="69"/>
    <n v="65"/>
    <n v="74"/>
  </r>
  <r>
    <x v="1"/>
    <s v="group D"/>
    <x v="4"/>
    <s v="free/reduced"/>
    <x v="0"/>
    <n v="44"/>
    <n v="51"/>
    <n v="48"/>
  </r>
  <r>
    <x v="0"/>
    <s v="group E"/>
    <x v="1"/>
    <s v="standard"/>
    <x v="1"/>
    <n v="86"/>
    <n v="85"/>
    <n v="91"/>
  </r>
  <r>
    <x v="0"/>
    <s v="group E"/>
    <x v="3"/>
    <s v="standard"/>
    <x v="0"/>
    <n v="85"/>
    <n v="92"/>
    <n v="85"/>
  </r>
  <r>
    <x v="0"/>
    <s v="group A"/>
    <x v="2"/>
    <s v="free/reduced"/>
    <x v="0"/>
    <n v="50"/>
    <n v="67"/>
    <n v="73"/>
  </r>
  <r>
    <x v="1"/>
    <s v="group D"/>
    <x v="5"/>
    <s v="standard"/>
    <x v="1"/>
    <n v="88"/>
    <n v="74"/>
    <n v="75"/>
  </r>
  <r>
    <x v="0"/>
    <s v="group E"/>
    <x v="3"/>
    <s v="standard"/>
    <x v="0"/>
    <n v="59"/>
    <n v="62"/>
    <n v="69"/>
  </r>
  <r>
    <x v="0"/>
    <s v="group E"/>
    <x v="5"/>
    <s v="free/reduced"/>
    <x v="0"/>
    <n v="32"/>
    <n v="34"/>
    <n v="38"/>
  </r>
  <r>
    <x v="1"/>
    <s v="group B"/>
    <x v="4"/>
    <s v="free/reduced"/>
    <x v="0"/>
    <n v="36"/>
    <n v="29"/>
    <n v="27"/>
  </r>
  <r>
    <x v="0"/>
    <s v="group B"/>
    <x v="5"/>
    <s v="free/reduced"/>
    <x v="1"/>
    <n v="63"/>
    <n v="78"/>
    <n v="79"/>
  </r>
  <r>
    <x v="1"/>
    <s v="group D"/>
    <x v="3"/>
    <s v="standard"/>
    <x v="1"/>
    <n v="67"/>
    <n v="54"/>
    <n v="63"/>
  </r>
  <r>
    <x v="0"/>
    <s v="group D"/>
    <x v="5"/>
    <s v="standard"/>
    <x v="1"/>
    <n v="65"/>
    <n v="78"/>
    <n v="82"/>
  </r>
  <r>
    <x v="1"/>
    <s v="group D"/>
    <x v="2"/>
    <s v="standard"/>
    <x v="0"/>
    <n v="85"/>
    <n v="84"/>
    <n v="89"/>
  </r>
  <r>
    <x v="0"/>
    <s v="group C"/>
    <x v="2"/>
    <s v="standard"/>
    <x v="0"/>
    <n v="73"/>
    <n v="78"/>
    <n v="74"/>
  </r>
  <r>
    <x v="0"/>
    <s v="group A"/>
    <x v="4"/>
    <s v="free/reduced"/>
    <x v="1"/>
    <n v="34"/>
    <n v="48"/>
    <n v="41"/>
  </r>
  <r>
    <x v="0"/>
    <s v="group D"/>
    <x v="0"/>
    <s v="free/reduced"/>
    <x v="1"/>
    <n v="93"/>
    <n v="100"/>
    <n v="100"/>
  </r>
  <r>
    <x v="0"/>
    <s v="group D"/>
    <x v="5"/>
    <s v="free/reduced"/>
    <x v="0"/>
    <n v="67"/>
    <n v="84"/>
    <n v="84"/>
  </r>
  <r>
    <x v="1"/>
    <s v="group D"/>
    <x v="1"/>
    <s v="standard"/>
    <x v="0"/>
    <n v="88"/>
    <n v="77"/>
    <n v="77"/>
  </r>
  <r>
    <x v="1"/>
    <s v="group B"/>
    <x v="4"/>
    <s v="standard"/>
    <x v="0"/>
    <n v="57"/>
    <n v="48"/>
    <n v="51"/>
  </r>
  <r>
    <x v="0"/>
    <s v="group D"/>
    <x v="1"/>
    <s v="standard"/>
    <x v="1"/>
    <n v="79"/>
    <n v="84"/>
    <n v="91"/>
  </r>
  <r>
    <x v="0"/>
    <s v="group C"/>
    <x v="0"/>
    <s v="free/reduced"/>
    <x v="0"/>
    <n v="67"/>
    <n v="75"/>
    <n v="72"/>
  </r>
  <r>
    <x v="1"/>
    <s v="group E"/>
    <x v="0"/>
    <s v="standard"/>
    <x v="1"/>
    <n v="70"/>
    <n v="64"/>
    <n v="70"/>
  </r>
  <r>
    <x v="1"/>
    <s v="group D"/>
    <x v="0"/>
    <s v="free/reduced"/>
    <x v="0"/>
    <n v="50"/>
    <n v="42"/>
    <n v="48"/>
  </r>
  <r>
    <x v="0"/>
    <s v="group A"/>
    <x v="1"/>
    <s v="standard"/>
    <x v="0"/>
    <n v="69"/>
    <n v="84"/>
    <n v="82"/>
  </r>
  <r>
    <x v="0"/>
    <s v="group C"/>
    <x v="0"/>
    <s v="standard"/>
    <x v="1"/>
    <n v="52"/>
    <n v="61"/>
    <n v="66"/>
  </r>
  <r>
    <x v="0"/>
    <s v="group C"/>
    <x v="0"/>
    <s v="free/reduced"/>
    <x v="1"/>
    <n v="47"/>
    <n v="62"/>
    <n v="66"/>
  </r>
  <r>
    <x v="0"/>
    <s v="group B"/>
    <x v="3"/>
    <s v="free/reduced"/>
    <x v="0"/>
    <n v="46"/>
    <n v="61"/>
    <n v="55"/>
  </r>
  <r>
    <x v="0"/>
    <s v="group E"/>
    <x v="1"/>
    <s v="standard"/>
    <x v="0"/>
    <n v="68"/>
    <n v="70"/>
    <n v="66"/>
  </r>
  <r>
    <x v="1"/>
    <s v="group E"/>
    <x v="0"/>
    <s v="standard"/>
    <x v="1"/>
    <n v="100"/>
    <n v="100"/>
    <n v="100"/>
  </r>
  <r>
    <x v="0"/>
    <s v="group C"/>
    <x v="4"/>
    <s v="standard"/>
    <x v="0"/>
    <n v="44"/>
    <n v="61"/>
    <n v="52"/>
  </r>
  <r>
    <x v="0"/>
    <s v="group C"/>
    <x v="3"/>
    <s v="standard"/>
    <x v="1"/>
    <n v="57"/>
    <n v="77"/>
    <n v="80"/>
  </r>
  <r>
    <x v="1"/>
    <s v="group B"/>
    <x v="1"/>
    <s v="standard"/>
    <x v="1"/>
    <n v="91"/>
    <n v="96"/>
    <n v="91"/>
  </r>
  <r>
    <x v="1"/>
    <s v="group D"/>
    <x v="4"/>
    <s v="free/reduced"/>
    <x v="0"/>
    <n v="69"/>
    <n v="70"/>
    <n v="67"/>
  </r>
  <r>
    <x v="0"/>
    <s v="group C"/>
    <x v="4"/>
    <s v="free/reduced"/>
    <x v="0"/>
    <n v="35"/>
    <n v="53"/>
    <n v="46"/>
  </r>
  <r>
    <x v="1"/>
    <s v="group D"/>
    <x v="4"/>
    <s v="standard"/>
    <x v="0"/>
    <n v="72"/>
    <n v="66"/>
    <n v="66"/>
  </r>
  <r>
    <x v="0"/>
    <s v="group B"/>
    <x v="3"/>
    <s v="free/reduced"/>
    <x v="0"/>
    <n v="54"/>
    <n v="65"/>
    <n v="65"/>
  </r>
  <r>
    <x v="1"/>
    <s v="group D"/>
    <x v="4"/>
    <s v="free/reduced"/>
    <x v="0"/>
    <n v="74"/>
    <n v="70"/>
    <n v="69"/>
  </r>
  <r>
    <x v="1"/>
    <s v="group E"/>
    <x v="5"/>
    <s v="standard"/>
    <x v="1"/>
    <n v="74"/>
    <n v="64"/>
    <n v="60"/>
  </r>
  <r>
    <x v="1"/>
    <s v="group E"/>
    <x v="3"/>
    <s v="free/reduced"/>
    <x v="0"/>
    <n v="64"/>
    <n v="56"/>
    <n v="52"/>
  </r>
  <r>
    <x v="0"/>
    <s v="group D"/>
    <x v="4"/>
    <s v="free/reduced"/>
    <x v="1"/>
    <n v="65"/>
    <n v="61"/>
    <n v="71"/>
  </r>
  <r>
    <x v="1"/>
    <s v="group E"/>
    <x v="3"/>
    <s v="free/reduced"/>
    <x v="1"/>
    <n v="46"/>
    <n v="43"/>
    <n v="44"/>
  </r>
  <r>
    <x v="0"/>
    <s v="group C"/>
    <x v="5"/>
    <s v="free/reduced"/>
    <x v="0"/>
    <n v="48"/>
    <n v="56"/>
    <n v="51"/>
  </r>
  <r>
    <x v="1"/>
    <s v="group C"/>
    <x v="1"/>
    <s v="free/reduced"/>
    <x v="1"/>
    <n v="67"/>
    <n v="74"/>
    <n v="70"/>
  </r>
  <r>
    <x v="1"/>
    <s v="group D"/>
    <x v="1"/>
    <s v="free/reduced"/>
    <x v="0"/>
    <n v="62"/>
    <n v="57"/>
    <n v="62"/>
  </r>
  <r>
    <x v="1"/>
    <s v="group D"/>
    <x v="3"/>
    <s v="free/reduced"/>
    <x v="1"/>
    <n v="61"/>
    <n v="71"/>
    <n v="73"/>
  </r>
  <r>
    <x v="1"/>
    <s v="group C"/>
    <x v="0"/>
    <s v="free/reduced"/>
    <x v="1"/>
    <n v="70"/>
    <n v="75"/>
    <n v="74"/>
  </r>
  <r>
    <x v="1"/>
    <s v="group C"/>
    <x v="3"/>
    <s v="standard"/>
    <x v="1"/>
    <n v="98"/>
    <n v="87"/>
    <n v="90"/>
  </r>
  <r>
    <x v="1"/>
    <s v="group D"/>
    <x v="1"/>
    <s v="free/reduced"/>
    <x v="0"/>
    <n v="70"/>
    <n v="63"/>
    <n v="58"/>
  </r>
  <r>
    <x v="1"/>
    <s v="group A"/>
    <x v="3"/>
    <s v="standard"/>
    <x v="0"/>
    <n v="67"/>
    <n v="57"/>
    <n v="53"/>
  </r>
  <r>
    <x v="0"/>
    <s v="group E"/>
    <x v="4"/>
    <s v="free/reduced"/>
    <x v="0"/>
    <n v="57"/>
    <n v="58"/>
    <n v="57"/>
  </r>
  <r>
    <x v="1"/>
    <s v="group D"/>
    <x v="1"/>
    <s v="standard"/>
    <x v="1"/>
    <n v="85"/>
    <n v="81"/>
    <n v="85"/>
  </r>
  <r>
    <x v="1"/>
    <s v="group D"/>
    <x v="5"/>
    <s v="standard"/>
    <x v="1"/>
    <n v="77"/>
    <n v="68"/>
    <n v="69"/>
  </r>
  <r>
    <x v="1"/>
    <s v="group C"/>
    <x v="2"/>
    <s v="free/reduced"/>
    <x v="1"/>
    <n v="72"/>
    <n v="66"/>
    <n v="72"/>
  </r>
  <r>
    <x v="0"/>
    <s v="group D"/>
    <x v="2"/>
    <s v="standard"/>
    <x v="0"/>
    <n v="78"/>
    <n v="91"/>
    <n v="96"/>
  </r>
  <r>
    <x v="1"/>
    <s v="group C"/>
    <x v="4"/>
    <s v="standard"/>
    <x v="0"/>
    <n v="81"/>
    <n v="66"/>
    <n v="64"/>
  </r>
  <r>
    <x v="1"/>
    <s v="group A"/>
    <x v="5"/>
    <s v="free/reduced"/>
    <x v="1"/>
    <n v="61"/>
    <n v="62"/>
    <n v="61"/>
  </r>
  <r>
    <x v="0"/>
    <s v="group B"/>
    <x v="4"/>
    <s v="standard"/>
    <x v="0"/>
    <n v="58"/>
    <n v="68"/>
    <n v="61"/>
  </r>
  <r>
    <x v="0"/>
    <s v="group C"/>
    <x v="3"/>
    <s v="standard"/>
    <x v="0"/>
    <n v="54"/>
    <n v="61"/>
    <n v="58"/>
  </r>
  <r>
    <x v="1"/>
    <s v="group B"/>
    <x v="4"/>
    <s v="standard"/>
    <x v="0"/>
    <n v="82"/>
    <n v="82"/>
    <n v="80"/>
  </r>
  <r>
    <x v="0"/>
    <s v="group D"/>
    <x v="1"/>
    <s v="free/reduced"/>
    <x v="0"/>
    <n v="49"/>
    <n v="58"/>
    <n v="60"/>
  </r>
  <r>
    <x v="1"/>
    <s v="group B"/>
    <x v="5"/>
    <s v="free/reduced"/>
    <x v="1"/>
    <n v="49"/>
    <n v="50"/>
    <n v="52"/>
  </r>
  <r>
    <x v="0"/>
    <s v="group E"/>
    <x v="4"/>
    <s v="free/reduced"/>
    <x v="1"/>
    <n v="57"/>
    <n v="75"/>
    <n v="73"/>
  </r>
  <r>
    <x v="1"/>
    <s v="group E"/>
    <x v="4"/>
    <s v="standard"/>
    <x v="0"/>
    <n v="94"/>
    <n v="73"/>
    <n v="71"/>
  </r>
  <r>
    <x v="0"/>
    <s v="group D"/>
    <x v="1"/>
    <s v="standard"/>
    <x v="1"/>
    <n v="75"/>
    <n v="77"/>
    <n v="83"/>
  </r>
  <r>
    <x v="0"/>
    <s v="group E"/>
    <x v="5"/>
    <s v="free/reduced"/>
    <x v="0"/>
    <n v="74"/>
    <n v="74"/>
    <n v="72"/>
  </r>
  <r>
    <x v="1"/>
    <s v="group C"/>
    <x v="4"/>
    <s v="standard"/>
    <x v="1"/>
    <n v="58"/>
    <n v="52"/>
    <n v="54"/>
  </r>
  <r>
    <x v="0"/>
    <s v="group C"/>
    <x v="1"/>
    <s v="standard"/>
    <x v="0"/>
    <n v="62"/>
    <n v="69"/>
    <n v="69"/>
  </r>
  <r>
    <x v="1"/>
    <s v="group E"/>
    <x v="3"/>
    <s v="standard"/>
    <x v="0"/>
    <n v="72"/>
    <n v="57"/>
    <n v="62"/>
  </r>
  <r>
    <x v="1"/>
    <s v="group C"/>
    <x v="1"/>
    <s v="standard"/>
    <x v="0"/>
    <n v="84"/>
    <n v="87"/>
    <n v="81"/>
  </r>
  <r>
    <x v="0"/>
    <s v="group D"/>
    <x v="2"/>
    <s v="standard"/>
    <x v="0"/>
    <n v="92"/>
    <n v="100"/>
    <n v="100"/>
  </r>
  <r>
    <x v="0"/>
    <s v="group D"/>
    <x v="4"/>
    <s v="standard"/>
    <x v="0"/>
    <n v="45"/>
    <n v="63"/>
    <n v="59"/>
  </r>
  <r>
    <x v="1"/>
    <s v="group C"/>
    <x v="4"/>
    <s v="standard"/>
    <x v="0"/>
    <n v="75"/>
    <n v="81"/>
    <n v="71"/>
  </r>
  <r>
    <x v="0"/>
    <s v="group A"/>
    <x v="1"/>
    <s v="standard"/>
    <x v="0"/>
    <n v="56"/>
    <n v="58"/>
    <n v="64"/>
  </r>
  <r>
    <x v="0"/>
    <s v="group D"/>
    <x v="5"/>
    <s v="free/reduced"/>
    <x v="0"/>
    <n v="48"/>
    <n v="54"/>
    <n v="53"/>
  </r>
  <r>
    <x v="0"/>
    <s v="group E"/>
    <x v="3"/>
    <s v="standard"/>
    <x v="0"/>
    <n v="100"/>
    <n v="100"/>
    <n v="100"/>
  </r>
  <r>
    <x v="0"/>
    <s v="group C"/>
    <x v="5"/>
    <s v="free/reduced"/>
    <x v="1"/>
    <n v="65"/>
    <n v="76"/>
    <n v="75"/>
  </r>
  <r>
    <x v="1"/>
    <s v="group D"/>
    <x v="1"/>
    <s v="standard"/>
    <x v="0"/>
    <n v="72"/>
    <n v="57"/>
    <n v="58"/>
  </r>
  <r>
    <x v="0"/>
    <s v="group D"/>
    <x v="1"/>
    <s v="standard"/>
    <x v="0"/>
    <n v="62"/>
    <n v="70"/>
    <n v="72"/>
  </r>
  <r>
    <x v="1"/>
    <s v="group A"/>
    <x v="5"/>
    <s v="standard"/>
    <x v="1"/>
    <n v="66"/>
    <n v="68"/>
    <n v="64"/>
  </r>
  <r>
    <x v="1"/>
    <s v="group C"/>
    <x v="1"/>
    <s v="standard"/>
    <x v="0"/>
    <n v="63"/>
    <n v="63"/>
    <n v="60"/>
  </r>
  <r>
    <x v="0"/>
    <s v="group E"/>
    <x v="3"/>
    <s v="standard"/>
    <x v="0"/>
    <n v="68"/>
    <n v="76"/>
    <n v="67"/>
  </r>
  <r>
    <x v="0"/>
    <s v="group B"/>
    <x v="0"/>
    <s v="standard"/>
    <x v="0"/>
    <n v="75"/>
    <n v="84"/>
    <n v="80"/>
  </r>
  <r>
    <x v="0"/>
    <s v="group D"/>
    <x v="0"/>
    <s v="standard"/>
    <x v="0"/>
    <n v="89"/>
    <n v="100"/>
    <n v="100"/>
  </r>
  <r>
    <x v="1"/>
    <s v="group C"/>
    <x v="5"/>
    <s v="standard"/>
    <x v="1"/>
    <n v="78"/>
    <n v="72"/>
    <n v="69"/>
  </r>
  <r>
    <x v="0"/>
    <s v="group A"/>
    <x v="4"/>
    <s v="free/reduced"/>
    <x v="1"/>
    <n v="53"/>
    <n v="50"/>
    <n v="60"/>
  </r>
  <r>
    <x v="0"/>
    <s v="group D"/>
    <x v="1"/>
    <s v="free/reduced"/>
    <x v="0"/>
    <n v="49"/>
    <n v="65"/>
    <n v="61"/>
  </r>
  <r>
    <x v="0"/>
    <s v="group A"/>
    <x v="1"/>
    <s v="standard"/>
    <x v="0"/>
    <n v="54"/>
    <n v="63"/>
    <n v="67"/>
  </r>
  <r>
    <x v="0"/>
    <s v="group C"/>
    <x v="1"/>
    <s v="standard"/>
    <x v="1"/>
    <n v="64"/>
    <n v="82"/>
    <n v="77"/>
  </r>
  <r>
    <x v="1"/>
    <s v="group B"/>
    <x v="1"/>
    <s v="free/reduced"/>
    <x v="1"/>
    <n v="60"/>
    <n v="62"/>
    <n v="60"/>
  </r>
  <r>
    <x v="1"/>
    <s v="group C"/>
    <x v="3"/>
    <s v="standard"/>
    <x v="0"/>
    <n v="62"/>
    <n v="65"/>
    <n v="58"/>
  </r>
  <r>
    <x v="1"/>
    <s v="group D"/>
    <x v="4"/>
    <s v="standard"/>
    <x v="1"/>
    <n v="55"/>
    <n v="41"/>
    <n v="48"/>
  </r>
  <r>
    <x v="0"/>
    <s v="group C"/>
    <x v="3"/>
    <s v="standard"/>
    <x v="0"/>
    <n v="91"/>
    <n v="95"/>
    <n v="94"/>
  </r>
  <r>
    <x v="0"/>
    <s v="group B"/>
    <x v="4"/>
    <s v="free/reduced"/>
    <x v="0"/>
    <n v="8"/>
    <n v="24"/>
    <n v="23"/>
  </r>
  <r>
    <x v="1"/>
    <s v="group D"/>
    <x v="5"/>
    <s v="standard"/>
    <x v="0"/>
    <n v="81"/>
    <n v="78"/>
    <n v="78"/>
  </r>
  <r>
    <x v="1"/>
    <s v="group B"/>
    <x v="5"/>
    <s v="standard"/>
    <x v="1"/>
    <n v="79"/>
    <n v="85"/>
    <n v="86"/>
  </r>
  <r>
    <x v="0"/>
    <s v="group A"/>
    <x v="1"/>
    <s v="standard"/>
    <x v="1"/>
    <n v="78"/>
    <n v="87"/>
    <n v="91"/>
  </r>
  <r>
    <x v="0"/>
    <s v="group C"/>
    <x v="5"/>
    <s v="standard"/>
    <x v="0"/>
    <n v="74"/>
    <n v="75"/>
    <n v="82"/>
  </r>
  <r>
    <x v="1"/>
    <s v="group A"/>
    <x v="4"/>
    <s v="standard"/>
    <x v="0"/>
    <n v="57"/>
    <n v="51"/>
    <n v="54"/>
  </r>
  <r>
    <x v="0"/>
    <s v="group C"/>
    <x v="3"/>
    <s v="standard"/>
    <x v="0"/>
    <n v="40"/>
    <n v="59"/>
    <n v="51"/>
  </r>
  <r>
    <x v="1"/>
    <s v="group E"/>
    <x v="5"/>
    <s v="standard"/>
    <x v="1"/>
    <n v="81"/>
    <n v="75"/>
    <n v="76"/>
  </r>
  <r>
    <x v="0"/>
    <s v="group A"/>
    <x v="5"/>
    <s v="free/reduced"/>
    <x v="0"/>
    <n v="44"/>
    <n v="45"/>
    <n v="45"/>
  </r>
  <r>
    <x v="0"/>
    <s v="group D"/>
    <x v="1"/>
    <s v="free/reduced"/>
    <x v="1"/>
    <n v="67"/>
    <n v="86"/>
    <n v="83"/>
  </r>
  <r>
    <x v="1"/>
    <s v="group E"/>
    <x v="4"/>
    <s v="free/reduced"/>
    <x v="1"/>
    <n v="86"/>
    <n v="81"/>
    <n v="75"/>
  </r>
  <r>
    <x v="0"/>
    <s v="group B"/>
    <x v="5"/>
    <s v="standard"/>
    <x v="1"/>
    <n v="65"/>
    <n v="82"/>
    <n v="78"/>
  </r>
  <r>
    <x v="0"/>
    <s v="group D"/>
    <x v="3"/>
    <s v="free/reduced"/>
    <x v="0"/>
    <n v="55"/>
    <n v="76"/>
    <n v="76"/>
  </r>
  <r>
    <x v="0"/>
    <s v="group D"/>
    <x v="0"/>
    <s v="free/reduced"/>
    <x v="0"/>
    <n v="62"/>
    <n v="72"/>
    <n v="74"/>
  </r>
  <r>
    <x v="1"/>
    <s v="group A"/>
    <x v="4"/>
    <s v="standard"/>
    <x v="0"/>
    <n v="63"/>
    <n v="63"/>
    <n v="62"/>
  </r>
  <r>
    <x v="0"/>
    <s v="group E"/>
    <x v="2"/>
    <s v="standard"/>
    <x v="1"/>
    <n v="88"/>
    <n v="99"/>
    <n v="95"/>
  </r>
  <r>
    <x v="1"/>
    <s v="group C"/>
    <x v="4"/>
    <s v="free/reduced"/>
    <x v="0"/>
    <n v="62"/>
    <n v="55"/>
    <n v="55"/>
  </r>
  <r>
    <x v="0"/>
    <s v="group C"/>
    <x v="4"/>
    <s v="free/reduced"/>
    <x v="1"/>
    <n v="59"/>
    <n v="71"/>
    <n v="65"/>
  </r>
  <r>
    <x v="0"/>
    <s v="group D"/>
    <x v="1"/>
    <s v="standard"/>
    <x v="1"/>
    <n v="68"/>
    <n v="78"/>
    <n v="77"/>
  </r>
  <r>
    <x v="0"/>
    <s v="group D"/>
    <x v="1"/>
    <s v="free/reduced"/>
    <x v="0"/>
    <n v="77"/>
    <n v="86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3D5AC-6CDE-4E46-84E4-291BDC2A99C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6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0" baseItem="0"/>
    <dataField name="Average of reading score" fld="6" subtotal="average" baseField="0" baseItem="0"/>
    <dataField name="Average of writing score" fld="7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07C2C-65B2-471E-B9C9-17EF38EFF81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0" firstDataRow="1" firstDataCol="1"/>
  <pivotFields count="8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ading score" fld="6" subtotal="average" baseField="2" baseItem="0"/>
    <dataField name="Average of math score" fld="5" subtotal="average" baseField="2" baseItem="0"/>
    <dataField name="Average of writing score" fld="7" subtotal="average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DECC2-B9D5-46E9-911F-6CC53CC8184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6" firstHeaderRow="0" firstDataRow="1" firstDataCol="1"/>
  <pivotFields count="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4" baseItem="0"/>
    <dataField name="Average of reading score" fld="6" subtotal="average" baseField="4" baseItem="0"/>
    <dataField name="Average of writing score" fld="7" subtotal="average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F8D11-3CEE-45B8-889C-41F80FA3EB9C}" name="StudentData" displayName="StudentData" ref="A1:H1001" totalsRowShown="0">
  <autoFilter ref="A1:H1001" xr:uid="{88BF8D11-3CEE-45B8-889C-41F80FA3EB9C}"/>
  <tableColumns count="8">
    <tableColumn id="1" xr3:uid="{C97AAC5A-A9F5-4E50-B236-A18A8E927828}" name="gender"/>
    <tableColumn id="2" xr3:uid="{DFD6E96A-E29D-461E-BBD1-F7E717879A42}" name="race/ethnicity"/>
    <tableColumn id="3" xr3:uid="{2A0E5964-7984-48AC-9449-0DB4BBB8FF79}" name="parental level of education"/>
    <tableColumn id="4" xr3:uid="{55CE1247-3CE2-41F3-A3BD-EED11CA11C0E}" name="lunch"/>
    <tableColumn id="5" xr3:uid="{483E2944-4DCB-4789-ACC4-BDE4B445DB2D}" name="test preparation course"/>
    <tableColumn id="6" xr3:uid="{3C26B6EF-FED3-4B18-8631-94D544047F55}" name="math score"/>
    <tableColumn id="7" xr3:uid="{3479D1A4-11CE-4A44-9E59-50595E0C7BBF}" name="reading score"/>
    <tableColumn id="8" xr3:uid="{748E67BD-6300-46C2-9CA8-8DD63630858A}" name="writing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211C-C857-4987-97A5-2B1D164349B2}">
  <dimension ref="A1:H1001"/>
  <sheetViews>
    <sheetView topLeftCell="A2" workbookViewId="0">
      <selection activeCell="B3" sqref="B3"/>
    </sheetView>
  </sheetViews>
  <sheetFormatPr defaultRowHeight="15" x14ac:dyDescent="0.25"/>
  <cols>
    <col min="1" max="1" width="9.42578125" customWidth="1"/>
    <col min="2" max="2" width="15.7109375" customWidth="1"/>
    <col min="3" max="3" width="27.140625" customWidth="1"/>
    <col min="4" max="4" width="12.140625" bestFit="1" customWidth="1"/>
    <col min="5" max="5" width="24.140625" customWidth="1"/>
    <col min="6" max="6" width="13.140625" customWidth="1"/>
    <col min="7" max="7" width="15.28515625" customWidth="1"/>
    <col min="8" max="8" width="1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52C2-A82B-4E32-B3E0-EE0F8B974594}">
  <dimension ref="A1:G8"/>
  <sheetViews>
    <sheetView workbookViewId="0">
      <selection activeCell="K17" sqref="K17"/>
    </sheetView>
  </sheetViews>
  <sheetFormatPr defaultRowHeight="15" x14ac:dyDescent="0.25"/>
  <cols>
    <col min="1" max="1" width="20" bestFit="1" customWidth="1"/>
    <col min="4" max="4" width="25.7109375" bestFit="1" customWidth="1"/>
  </cols>
  <sheetData>
    <row r="1" spans="1:7" x14ac:dyDescent="0.25">
      <c r="A1" t="s">
        <v>25</v>
      </c>
      <c r="B1" t="s">
        <v>26</v>
      </c>
    </row>
    <row r="2" spans="1:7" x14ac:dyDescent="0.25">
      <c r="A2" t="s">
        <v>27</v>
      </c>
      <c r="B2">
        <f>ROWS(StudentData[])</f>
        <v>1000</v>
      </c>
      <c r="D2" t="s">
        <v>39</v>
      </c>
      <c r="E2" t="s">
        <v>36</v>
      </c>
      <c r="F2" t="s">
        <v>37</v>
      </c>
      <c r="G2" t="s">
        <v>38</v>
      </c>
    </row>
    <row r="3" spans="1:7" x14ac:dyDescent="0.25">
      <c r="A3" t="s">
        <v>28</v>
      </c>
      <c r="B3" s="2">
        <f>AVERAGE(StudentData[math score])</f>
        <v>66.088999999999999</v>
      </c>
      <c r="D3" t="s">
        <v>40</v>
      </c>
      <c r="E3" s="1">
        <v>69.69553072625699</v>
      </c>
      <c r="F3" s="1">
        <v>73.893854748603346</v>
      </c>
      <c r="G3" s="1">
        <v>74.418994413407816</v>
      </c>
    </row>
    <row r="4" spans="1:7" x14ac:dyDescent="0.25">
      <c r="A4" t="s">
        <v>29</v>
      </c>
      <c r="B4" s="2">
        <f>AVERAGE(StudentData[reading score])</f>
        <v>69.168999999999997</v>
      </c>
      <c r="D4" t="s">
        <v>41</v>
      </c>
      <c r="E4" s="1">
        <v>64.077881619937699</v>
      </c>
      <c r="F4" s="1">
        <v>66.534267912772592</v>
      </c>
      <c r="G4" s="1">
        <v>64.504672897196258</v>
      </c>
    </row>
    <row r="5" spans="1:7" x14ac:dyDescent="0.25">
      <c r="A5" t="s">
        <v>30</v>
      </c>
      <c r="B5" s="2">
        <f>AVERAGE(StudentData[writing score])</f>
        <v>68.054000000000002</v>
      </c>
      <c r="D5" t="s">
        <v>42</v>
      </c>
      <c r="E5" s="1">
        <v>66.088999999999999</v>
      </c>
      <c r="F5" s="1">
        <v>69.168999999999997</v>
      </c>
      <c r="G5" s="1">
        <v>68.054000000000002</v>
      </c>
    </row>
    <row r="6" spans="1:7" x14ac:dyDescent="0.25">
      <c r="A6" t="s">
        <v>31</v>
      </c>
      <c r="B6" s="3">
        <f>COUNTIF(StudentData[math score],"&gt;=70")/ROWS(StudentData[])</f>
        <v>0.40899999999999997</v>
      </c>
    </row>
    <row r="7" spans="1:7" x14ac:dyDescent="0.25">
      <c r="A7" t="s">
        <v>32</v>
      </c>
      <c r="B7" s="3">
        <f>COUNTIF(StudentData[reading score],"&gt;=70")/ROWS(StudentData[])</f>
        <v>0.51300000000000001</v>
      </c>
    </row>
    <row r="8" spans="1:7" x14ac:dyDescent="0.25">
      <c r="A8" t="s">
        <v>33</v>
      </c>
      <c r="B8" s="3">
        <f>COUNTIF(StudentData[writing score],"&gt;=70")/ROWS(StudentData[])</f>
        <v>0.48899999999999999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ABBD-8FED-4B0D-815E-777838300092}">
  <dimension ref="A3:D6"/>
  <sheetViews>
    <sheetView tabSelected="1" workbookViewId="0">
      <selection activeCell="I7" sqref="I7"/>
    </sheetView>
  </sheetViews>
  <sheetFormatPr defaultRowHeight="15" x14ac:dyDescent="0.25"/>
  <cols>
    <col min="1" max="1" width="13.42578125" bestFit="1" customWidth="1"/>
    <col min="2" max="2" width="21.140625" bestFit="1" customWidth="1"/>
    <col min="3" max="3" width="23.42578125" bestFit="1" customWidth="1"/>
    <col min="4" max="4" width="22.85546875" bestFit="1" customWidth="1"/>
  </cols>
  <sheetData>
    <row r="3" spans="1:4" x14ac:dyDescent="0.25">
      <c r="A3" s="4" t="s">
        <v>34</v>
      </c>
      <c r="B3" t="s">
        <v>36</v>
      </c>
      <c r="C3" t="s">
        <v>37</v>
      </c>
      <c r="D3" t="s">
        <v>38</v>
      </c>
    </row>
    <row r="4" spans="1:4" x14ac:dyDescent="0.25">
      <c r="A4" s="5" t="s">
        <v>8</v>
      </c>
      <c r="B4" s="1">
        <v>63.633204633204635</v>
      </c>
      <c r="C4" s="1">
        <v>72.608108108108112</v>
      </c>
      <c r="D4" s="1">
        <v>72.467181467181462</v>
      </c>
    </row>
    <row r="5" spans="1:4" x14ac:dyDescent="0.25">
      <c r="A5" s="5" t="s">
        <v>17</v>
      </c>
      <c r="B5" s="1">
        <v>68.72821576763485</v>
      </c>
      <c r="C5" s="1">
        <v>65.473029045643159</v>
      </c>
      <c r="D5" s="1">
        <v>63.311203319502077</v>
      </c>
    </row>
    <row r="6" spans="1:4" x14ac:dyDescent="0.25">
      <c r="A6" s="5" t="s">
        <v>35</v>
      </c>
      <c r="B6" s="1">
        <v>66.088999999999999</v>
      </c>
      <c r="C6" s="1">
        <v>69.168999999999997</v>
      </c>
      <c r="D6" s="1">
        <v>68.054000000000002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74D3-6F3A-40E8-99C0-A6A09679A6EC}">
  <dimension ref="A3:D10"/>
  <sheetViews>
    <sheetView topLeftCell="A4" workbookViewId="0">
      <selection activeCell="E24" sqref="E24"/>
    </sheetView>
  </sheetViews>
  <sheetFormatPr defaultRowHeight="15" x14ac:dyDescent="0.25"/>
  <cols>
    <col min="1" max="1" width="17.5703125" bestFit="1" customWidth="1"/>
    <col min="2" max="2" width="23.42578125" bestFit="1" customWidth="1"/>
    <col min="3" max="3" width="21.140625" bestFit="1" customWidth="1"/>
    <col min="4" max="4" width="22.85546875" bestFit="1" customWidth="1"/>
  </cols>
  <sheetData>
    <row r="3" spans="1:4" x14ac:dyDescent="0.25">
      <c r="A3" s="4" t="s">
        <v>34</v>
      </c>
      <c r="B3" t="s">
        <v>37</v>
      </c>
      <c r="C3" t="s">
        <v>36</v>
      </c>
      <c r="D3" t="s">
        <v>38</v>
      </c>
    </row>
    <row r="4" spans="1:4" x14ac:dyDescent="0.25">
      <c r="A4" s="5" t="s">
        <v>19</v>
      </c>
      <c r="B4" s="1">
        <v>70.927927927927925</v>
      </c>
      <c r="C4" s="1">
        <v>67.882882882882882</v>
      </c>
      <c r="D4" s="1">
        <v>69.896396396396398</v>
      </c>
    </row>
    <row r="5" spans="1:4" x14ac:dyDescent="0.25">
      <c r="A5" s="5" t="s">
        <v>10</v>
      </c>
      <c r="B5" s="1">
        <v>73</v>
      </c>
      <c r="C5" s="1">
        <v>69.389830508474574</v>
      </c>
      <c r="D5" s="1">
        <v>73.381355932203391</v>
      </c>
    </row>
    <row r="6" spans="1:4" x14ac:dyDescent="0.25">
      <c r="A6" s="5" t="s">
        <v>22</v>
      </c>
      <c r="B6" s="1">
        <v>64.704081632653057</v>
      </c>
      <c r="C6" s="1">
        <v>62.137755102040813</v>
      </c>
      <c r="D6" s="1">
        <v>62.448979591836732</v>
      </c>
    </row>
    <row r="7" spans="1:4" x14ac:dyDescent="0.25">
      <c r="A7" s="5" t="s">
        <v>16</v>
      </c>
      <c r="B7" s="1">
        <v>75.372881355932208</v>
      </c>
      <c r="C7" s="1">
        <v>69.745762711864401</v>
      </c>
      <c r="D7" s="1">
        <v>75.677966101694921</v>
      </c>
    </row>
    <row r="8" spans="1:4" x14ac:dyDescent="0.25">
      <c r="A8" s="5" t="s">
        <v>14</v>
      </c>
      <c r="B8" s="1">
        <v>69.460176991150448</v>
      </c>
      <c r="C8" s="1">
        <v>67.128318584070797</v>
      </c>
      <c r="D8" s="1">
        <v>68.840707964601776</v>
      </c>
    </row>
    <row r="9" spans="1:4" x14ac:dyDescent="0.25">
      <c r="A9" s="5" t="s">
        <v>23</v>
      </c>
      <c r="B9" s="1">
        <v>66.938547486033514</v>
      </c>
      <c r="C9" s="1">
        <v>63.497206703910614</v>
      </c>
      <c r="D9" s="1">
        <v>64.888268156424587</v>
      </c>
    </row>
    <row r="10" spans="1:4" x14ac:dyDescent="0.25">
      <c r="A10" s="5" t="s">
        <v>35</v>
      </c>
      <c r="B10" s="1">
        <v>69.168999999999997</v>
      </c>
      <c r="C10" s="1">
        <v>66.088999999999999</v>
      </c>
      <c r="D10" s="1">
        <v>68.054000000000002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FAB8-A710-41CF-BD39-427A3CE34462}">
  <dimension ref="A3:D6"/>
  <sheetViews>
    <sheetView workbookViewId="0">
      <selection activeCell="D20" sqref="D20"/>
    </sheetView>
  </sheetViews>
  <sheetFormatPr defaultRowHeight="15" x14ac:dyDescent="0.25"/>
  <cols>
    <col min="1" max="1" width="13.42578125" bestFit="1" customWidth="1"/>
    <col min="2" max="2" width="21.140625" bestFit="1" customWidth="1"/>
    <col min="3" max="3" width="23.42578125" bestFit="1" customWidth="1"/>
    <col min="4" max="4" width="22.85546875" bestFit="1" customWidth="1"/>
  </cols>
  <sheetData>
    <row r="3" spans="1:4" x14ac:dyDescent="0.25">
      <c r="A3" s="4" t="s">
        <v>34</v>
      </c>
      <c r="B3" t="s">
        <v>36</v>
      </c>
      <c r="C3" t="s">
        <v>37</v>
      </c>
      <c r="D3" t="s">
        <v>38</v>
      </c>
    </row>
    <row r="4" spans="1:4" x14ac:dyDescent="0.25">
      <c r="A4" s="5" t="s">
        <v>15</v>
      </c>
      <c r="B4" s="1">
        <v>69.69553072625699</v>
      </c>
      <c r="C4" s="1">
        <v>73.893854748603346</v>
      </c>
      <c r="D4" s="1">
        <v>74.418994413407816</v>
      </c>
    </row>
    <row r="5" spans="1:4" x14ac:dyDescent="0.25">
      <c r="A5" s="5" t="s">
        <v>12</v>
      </c>
      <c r="B5" s="1">
        <v>64.077881619937699</v>
      </c>
      <c r="C5" s="1">
        <v>66.534267912772592</v>
      </c>
      <c r="D5" s="1">
        <v>64.504672897196258</v>
      </c>
    </row>
    <row r="6" spans="1:4" x14ac:dyDescent="0.25">
      <c r="A6" s="5" t="s">
        <v>35</v>
      </c>
      <c r="B6" s="1">
        <v>66.088999999999999</v>
      </c>
      <c r="C6" s="1">
        <v>69.168999999999997</v>
      </c>
      <c r="D6" s="1">
        <v>68.054000000000002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A4AF-5A97-428A-AE8D-A0735414CC0C}">
  <dimension ref="A1:R5"/>
  <sheetViews>
    <sheetView showGridLines="0" workbookViewId="0">
      <selection activeCell="R7" sqref="R7"/>
    </sheetView>
  </sheetViews>
  <sheetFormatPr defaultRowHeight="15" x14ac:dyDescent="0.25"/>
  <cols>
    <col min="1" max="1" width="10.5703125" customWidth="1"/>
    <col min="7" max="9" width="12" customWidth="1"/>
    <col min="11" max="14" width="11.7109375" customWidth="1"/>
  </cols>
  <sheetData>
    <row r="1" spans="1:18" ht="19.5" x14ac:dyDescent="0.3">
      <c r="E1" s="15" t="s">
        <v>43</v>
      </c>
      <c r="F1" s="15"/>
      <c r="G1" s="15"/>
      <c r="H1" s="15"/>
      <c r="I1" s="15"/>
      <c r="J1" s="15"/>
      <c r="K1" s="15"/>
      <c r="L1" s="6"/>
      <c r="M1" s="6"/>
      <c r="N1" s="6"/>
      <c r="O1" s="6"/>
      <c r="P1" s="6"/>
      <c r="Q1" s="6"/>
    </row>
    <row r="2" spans="1:18" ht="17.25" x14ac:dyDescent="0.3">
      <c r="D2" s="16" t="s">
        <v>44</v>
      </c>
      <c r="E2" s="16"/>
      <c r="F2" s="16"/>
      <c r="G2" s="16"/>
      <c r="H2" s="16"/>
      <c r="I2" s="16"/>
      <c r="J2" s="16"/>
      <c r="K2" s="16"/>
      <c r="L2" s="6"/>
      <c r="M2" s="6"/>
      <c r="N2" s="6"/>
      <c r="O2" s="6"/>
      <c r="P2" s="6"/>
      <c r="Q2" s="6"/>
      <c r="R2" s="6"/>
    </row>
    <row r="4" spans="1:18" ht="18.75" x14ac:dyDescent="0.3">
      <c r="A4" s="19" t="s">
        <v>45</v>
      </c>
      <c r="B4" s="17"/>
      <c r="C4" s="17"/>
      <c r="D4" s="17"/>
      <c r="E4" s="17"/>
      <c r="F4" s="12" t="s">
        <v>46</v>
      </c>
      <c r="G4" s="12"/>
      <c r="H4" s="12"/>
      <c r="I4" s="12"/>
      <c r="J4" s="12"/>
      <c r="K4" s="9"/>
      <c r="L4" s="9"/>
      <c r="M4" s="9"/>
      <c r="N4" s="9"/>
      <c r="O4" s="9"/>
    </row>
    <row r="5" spans="1:18" ht="26.25" x14ac:dyDescent="0.4">
      <c r="A5" s="7"/>
      <c r="B5" s="8"/>
      <c r="C5" s="18">
        <v>1000</v>
      </c>
      <c r="D5" s="8"/>
      <c r="E5" s="8"/>
      <c r="F5" s="13"/>
      <c r="G5" s="14"/>
      <c r="H5" s="14">
        <v>69.17</v>
      </c>
      <c r="I5" s="14"/>
      <c r="J5" s="13"/>
      <c r="K5" s="11"/>
      <c r="L5" s="11">
        <v>66.09</v>
      </c>
      <c r="M5" s="11"/>
      <c r="N5" s="11"/>
      <c r="O5" s="10"/>
    </row>
  </sheetData>
  <mergeCells count="5">
    <mergeCell ref="A4:E4"/>
    <mergeCell ref="F4:J4"/>
    <mergeCell ref="K4:O4"/>
    <mergeCell ref="E1:K1"/>
    <mergeCell ref="D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StudentsPerformance</vt:lpstr>
      <vt:lpstr>Analysis</vt:lpstr>
      <vt:lpstr>Gender</vt:lpstr>
      <vt:lpstr>Parental Education</vt:lpstr>
      <vt:lpstr>TEST PREPARATION STATUS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Akinlami</dc:creator>
  <cp:lastModifiedBy>Paul Akinlami</cp:lastModifiedBy>
  <dcterms:created xsi:type="dcterms:W3CDTF">2026-10-09T12:29:53Z</dcterms:created>
  <dcterms:modified xsi:type="dcterms:W3CDTF">2026-10-09T12:37:17Z</dcterms:modified>
</cp:coreProperties>
</file>